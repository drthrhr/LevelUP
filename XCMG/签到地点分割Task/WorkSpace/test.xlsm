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30720" windowHeight="13380" activeTab="1"/>
  </bookViews>
  <sheets>
    <sheet name="Sheet1" sheetId="1" r:id="rId1"/>
    <sheet name="Sheet2"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<sst xmlns="http://schemas.openxmlformats.org/spreadsheetml/2006/main" count="1052" uniqueCount="471">
  <si>
    <t>江苏省连云港市海州区郁州南路166-14号102号商业</t>
  </si>
  <si>
    <t>江苏省连云港市海州区郁州南路20号</t>
  </si>
  <si>
    <t>省</t>
  </si>
  <si>
    <t>市</t>
  </si>
  <si>
    <t>街道</t>
  </si>
  <si>
    <t>江苏省连云港市海州区浦西街道人民东路1号连云港站</t>
  </si>
  <si>
    <t>安徽省合肥市长丰县岗集镇现代路8号合肥中意家具有限公司</t>
  </si>
  <si>
    <t>江苏省徐州市泉山区泰山街道解放南路251号徐州软件园</t>
  </si>
  <si>
    <t>河南省郑州市新郑市孟庄镇017乡道</t>
  </si>
  <si>
    <t>河南省郑州市新郑市孟庄镇004乡道</t>
  </si>
  <si>
    <t>河南省郑州市新郑市孟庄镇005乡道孟庄镇农民创业园</t>
  </si>
  <si>
    <t>湖北省武汉市汉阳区洲头街道鹦鹉大道613号武汉国际博览中心</t>
  </si>
  <si>
    <t>湖北省武汉市汉阳区洲头街道武汉国际会议中心武汉国际博览中心</t>
  </si>
  <si>
    <t>湖北省武汉市洪山区和平街道武汉站</t>
  </si>
  <si>
    <t>河南省郑州市二七区一马路街道郑州站(检票口)</t>
  </si>
  <si>
    <t>重庆市重庆市九龙坡区蟠龙大道68号</t>
  </si>
  <si>
    <t>重庆市重庆市江北区寸滩街道港城工业园区港安一路9号</t>
  </si>
  <si>
    <t>重庆市重庆市寸滩街道港城工业园区港安一路9号</t>
  </si>
  <si>
    <t>福建省三明市沙县区虬江街道水东路81号三明汽车城</t>
  </si>
  <si>
    <t>详细地址</t>
  </si>
  <si>
    <t>adminPos</t>
  </si>
  <si>
    <t>FIND({"省","市","区","县"}, prefixText):</t>
  </si>
  <si>
    <t>广西壮族自治区南宁市江南区沙井街道南站大道南宁地区南宁南单身宿舍</t>
  </si>
  <si>
    <t>有bug：截取街道信息时，所获得的adminPos，并非是所期望的【最后一个“市”的位置，与截取至"街道"前的前缀文本中可能存在的"省","市","区","县"的位置，取最后一个作为锚点】，而是在【截取至"街道"前的前缀文本中可能存在的"省","市","区","县"的位置】中，获得到的是从左向右的第一个"省","市","区","县"的位置</t>
  </si>
  <si>
    <t>福建省泉州市丰泽区城东街道兴学路</t>
  </si>
  <si>
    <t>福建省泉州市丰泽区东海街道丰海路滨海公园</t>
  </si>
  <si>
    <t>福建省泉州市丰泽区城东街道泉州市工商旅游职业中专学校</t>
  </si>
  <si>
    <t>福建省泉州市丰泽区东海街道双垵街海星小区</t>
  </si>
  <si>
    <t>福建省泉州市丰泽区东海街道丰海路</t>
  </si>
  <si>
    <t>福建省厦门市湖里区湖里街道长岸路恒丰花园</t>
  </si>
  <si>
    <t>福建省厦门市湖里区湖里街道华昌路178号之4特祥苑</t>
  </si>
  <si>
    <t>福建省泉州市丰泽区清源街道一车租车万象阁小区</t>
  </si>
  <si>
    <t>福建省泉州市丰泽区泉秀街道坪山路泉州市丰泽区客运站</t>
  </si>
  <si>
    <t>福建省泉州市丰泽区城东街道城华南路</t>
  </si>
  <si>
    <t>福建省厦门市集美区杏林街道集美软件园(地铁站)</t>
  </si>
  <si>
    <t>福建省泉州市丰泽区东海街道东滨路</t>
  </si>
  <si>
    <t>福建省泉州市丰泽区东海街道东海大街275号和园(东海大街)</t>
  </si>
  <si>
    <t>福建省厦门市湖里区殿前街道长虹路344号翔鹭花城二期</t>
  </si>
  <si>
    <t>安徽省合肥市包河区望湖街道包河大道172号</t>
  </si>
  <si>
    <t>安徽省合肥市瑶海区七里塘街道合肥颖都大酒店</t>
  </si>
  <si>
    <t>江苏省无锡市锡山区安镇街道无锡东站(地铁站)无锡东站</t>
  </si>
  <si>
    <t>福建省泉州市丰泽区东海街道通港西街13号</t>
  </si>
  <si>
    <t>福建省厦门市湖里区殿前街道206省道岐山万寿楼</t>
  </si>
  <si>
    <t>福建省泉州市丰泽区东海街道泉州港联检报关楼</t>
  </si>
  <si>
    <t>福建省泉州市丰泽区北峰街道泉州软件园综合楼</t>
  </si>
  <si>
    <t>福建省泉州市丰泽区丰泽街道东美路48号</t>
  </si>
  <si>
    <t>福建省泉州市丰泽区东海街道滨海街泉州师范学院</t>
  </si>
  <si>
    <t>福建省泉州市鲤城区鲤中街道九一街209号泉州城建大厦</t>
  </si>
  <si>
    <t>福建省厦门市集美区集美街道集杏海堤</t>
  </si>
  <si>
    <t>福建省泉州市丰泽区城东街道霞兴路86号泉州市工商旅游职业中专学校</t>
  </si>
  <si>
    <t>福建省泉州市丰泽区城东街道中石化埃索加油站(蓬莱路)</t>
  </si>
  <si>
    <t>福建省福州市晋安区茶园街道站东路</t>
  </si>
  <si>
    <t>福建省厦门市湖里区金山街道槟城道</t>
  </si>
  <si>
    <t>福建省泉州市丰泽区东海街道泉秀街盛达广场</t>
  </si>
  <si>
    <t>福建省泉州市丰泽区东海街道双垵街</t>
  </si>
  <si>
    <t>福建省泉州市丰泽区东海街道盛达广场B区盛达广场</t>
  </si>
  <si>
    <t>福建省厦门市湖里区湖里街道兴隆路25-27号信源大厦</t>
  </si>
  <si>
    <t>福建省泉州市丰泽区北峰街道东西大道</t>
  </si>
  <si>
    <t>福建省厦门市思明区梧村街道坂尾路建发花园东区</t>
  </si>
  <si>
    <t>安徽省合肥市瑶海区长淮街道北二环路平之梦假日酒店</t>
  </si>
  <si>
    <t>安徽省合肥市包河区常青街道龙川路</t>
  </si>
  <si>
    <t>福建省厦门市集美区杏林街道朝旭路91号</t>
  </si>
  <si>
    <t>福建省厦门市湖里区禾山街道家居石代五缘湾生活体验馆</t>
  </si>
  <si>
    <t>福建省厦门市集美区杏林街道水夫人培训中心</t>
  </si>
  <si>
    <t>安徽省合肥市包河区常青街道合肥南站(东进站口)合肥南站</t>
  </si>
  <si>
    <t>江苏省苏州市姑苏区友新街道中海凤凰熙岸北区</t>
  </si>
  <si>
    <t>江苏省苏州市姑苏区苏锦街道北环西路</t>
  </si>
  <si>
    <t>安徽省合肥市包河区常青街道合肥南站(西出口)合肥南站</t>
  </si>
  <si>
    <t>福建省厦门市湖里区湖里街道华昌路古龙公寓</t>
  </si>
  <si>
    <t>福建省厦门市思明区梧村街道厦禾路898号厦门站</t>
  </si>
  <si>
    <t>福建省泉州市丰泽区东海街道成洲路金帝花园</t>
  </si>
  <si>
    <t>福建省厦门市集美区杏林街道诚毅广场(地铁站)</t>
  </si>
  <si>
    <t>福建省厦门市湖里区禾山街道钟宅路国贸润园</t>
  </si>
  <si>
    <t>福建省厦门市湖里区湖里街道兴隆路2之19号兴隆阁</t>
  </si>
  <si>
    <t>福建省厦门市湖里区湖里街道李姨小吃店恒丰花园</t>
  </si>
  <si>
    <t>福建省厦门市湖里区湖里街道华昌路鸿展大厦(华昌路)</t>
  </si>
  <si>
    <t>福建省厦门市湖里区殿前街道长虹路2号欣家园</t>
  </si>
  <si>
    <t>福建省泉州市丰泽区丰泽街道津淮街国际华城</t>
  </si>
  <si>
    <t>福建省泉州市丰泽区东海街道府西路泉州市教育局</t>
  </si>
  <si>
    <t>福建省厦门市思明区嘉莲街道映碧南路明发商业广场</t>
  </si>
  <si>
    <t>福建省厦门市湖里区湖里街道华昌路188号之2古龙公寓</t>
  </si>
  <si>
    <t>福建省泉州市丰泽区城东街道东辅路美仙山花苑1期</t>
  </si>
  <si>
    <t>福建省泉州市丰泽区东海街道东海大街东海湾御文阁一号</t>
  </si>
  <si>
    <t>福建省厦门市湖里区湖里街道长岸路128-130号恒丰花园</t>
  </si>
  <si>
    <t>福建省厦门市湖里区禾山街道富丽登度假酒店</t>
  </si>
  <si>
    <t>福建省厦门市集美区集美街道海堤路</t>
  </si>
  <si>
    <t>福建省厦门市湖里区湖里街道兴湖路30号航成酒店</t>
  </si>
  <si>
    <t>福建省泉州市丰泽区东海街道泉秀街金帝花园</t>
  </si>
  <si>
    <t>福建省泉州市丰泽区东海街道丰泽东海街道1520号</t>
  </si>
  <si>
    <t>福建省厦门市集美区杏林街道杏前路97号锦园居住区</t>
  </si>
  <si>
    <t>福建省厦门市湖里区湖里街道兴湖路象屿花园</t>
  </si>
  <si>
    <t>广东省惠州市惠城区陈江街道仲恺六路</t>
  </si>
  <si>
    <t>福建省厦门市湖里区湖里街道华昌路157号古龙公寓</t>
  </si>
  <si>
    <t>福建省厦门市湖里区湖里街道悦鸿路44号兴隆阁</t>
  </si>
  <si>
    <t>福建省厦门市湖里区殿前街道长宁路欣家园</t>
  </si>
  <si>
    <t>福建省厦门市思明区梧村街道站东二路厦门站</t>
  </si>
  <si>
    <t>福建省厦门市湖里区殿前街道兴湖路11号嘉会大厦</t>
  </si>
  <si>
    <t>福建省厦门市思明区嘉莲街道重庆名小吃特色小炒明发商业广场-东区</t>
  </si>
  <si>
    <t>福建省泉州市丰泽区北峰街道普贤路944号北峰汽车站</t>
  </si>
  <si>
    <t>福建省厦门市思明区梧村街道厦门站</t>
  </si>
  <si>
    <t>福建省泉州市丰泽区东海街道东海大街东海湾文园</t>
  </si>
  <si>
    <t>福建省厦门市集美区杏林街道朝旭路253号</t>
  </si>
  <si>
    <t>福建省厦门市海沧区海沧街道兴港路1966号886精品酒店(海沧区政府店)</t>
  </si>
  <si>
    <t>福建省厦门市湖里区殿前街道兴湖路象屿花园</t>
  </si>
  <si>
    <t>福建省厦门市湖里区金山街道仙岳路入口万达广场(厦门湖里店)</t>
  </si>
  <si>
    <t>福建省厦门市思明区筼筜街道鑫客家(湖滨北路)</t>
  </si>
  <si>
    <t>福建省泉州市丰泽区东海街道海星街海星小区</t>
  </si>
  <si>
    <t>福建省厦门市湖里区湖里街道昌宾路36号航成酒店</t>
  </si>
  <si>
    <t>福建省厦门市思明区梧村街道厦门站(南出站口)厦门站</t>
  </si>
  <si>
    <t>福建省福州市仓山区仓前街道上三路</t>
  </si>
  <si>
    <t>福建省厦门市湖里区湖里街道长岸路116号恒丰花园</t>
  </si>
  <si>
    <t>江苏省徐州市鼓楼区金山桥街道驮蓝山路1号</t>
  </si>
  <si>
    <t>安徽省合肥市瑶海区七里塘街道涂山路</t>
  </si>
  <si>
    <t>江苏省徐州市泉山区湖滨街道湖北路90号湖滨东村</t>
  </si>
  <si>
    <t>江苏省徐州市泉山区湖滨街道少年路湖滨东村</t>
  </si>
  <si>
    <t>福建省泉州市丰泽区清源街道普贤路</t>
  </si>
  <si>
    <t>福建省福州市福清市宏路街道古屯</t>
  </si>
  <si>
    <t>福建省厦门市海沧区海沧街道角嵩路</t>
  </si>
  <si>
    <t>福建省厦门市海沧区海沧街道滨湖北路天湖城(滨湖北二路)</t>
  </si>
  <si>
    <t>福建省厦门市海沧区海沧街道海虹路</t>
  </si>
  <si>
    <t>福建省厦门市湖里区殿前街道兴湖路25之4号欣家园</t>
  </si>
  <si>
    <t>福建省厦门市湖里区湖里街道悦华路4号雅子轩精品酒店</t>
  </si>
  <si>
    <t>福建省泉州市丰泽区东海街道府东路</t>
  </si>
  <si>
    <t>福建省泉州市丰泽区丰泽街道刺桐北路328号宏辉人保花苑</t>
  </si>
  <si>
    <t>福建省厦门市海沧区新阳街道翁角路568号兴旺广场</t>
  </si>
  <si>
    <t>福建省厦门市湖里区殿前街道中国石化森美疏港加油站碧桂园启航大厦</t>
  </si>
  <si>
    <t>福建省厦门市湖里区金山街道仙岳路万达广场(厦门湖里店)</t>
  </si>
  <si>
    <t>福建省泉州市丰泽区东海街道丰泽区实幼东海校区海星小区</t>
  </si>
  <si>
    <t>福建省泉州市丰泽区城东街道丰海路</t>
  </si>
  <si>
    <t>福建省厦门市海沧区海沧街道兴港路661号水岸名筑</t>
  </si>
  <si>
    <t>福建省泉州市南安市溪美街道科达消防阀门制造有限公司</t>
  </si>
  <si>
    <t>内蒙古自治区鄂尔多斯市东胜区天骄街道延顺宾馆</t>
  </si>
  <si>
    <t>内蒙古自治区鄂尔多斯市东胜区天骄街道鄂尔多斯客运总站</t>
  </si>
  <si>
    <t>内蒙古自治区呼和浩特市新城区成吉思汗大街街道北辰新领地徽商大酒店</t>
  </si>
  <si>
    <t>福建省泉州市丰泽区东海街道泉州港务集装箱股份有限公司</t>
  </si>
  <si>
    <t>福建省厦门市海沧区海沧街道兴港路163北京师范大学厦门海沧附属学校(体育中心校区)</t>
  </si>
  <si>
    <t>福建省泉州市洛江区双阳街道万虹路</t>
  </si>
  <si>
    <t>福建省厦门市湖里区禾山街道枋湖东路青年阳光酒店(枋湖店)</t>
  </si>
  <si>
    <t>福建省泉州市丰泽区城东街道安吉南路</t>
  </si>
  <si>
    <t>福建省厦门市思明区嘉莲街道成功大道</t>
  </si>
  <si>
    <t>福建省厦门市湖里区殿前街道兄弟之星汽配经营部欣家园</t>
  </si>
  <si>
    <t>福建省三明市沙县虬江街道朴拙传统文化艺术赞国安风情街</t>
  </si>
  <si>
    <t>福建省泉州市丰泽区东海街道岱仙岩私房菜</t>
  </si>
  <si>
    <t>福建省泉州市丰泽区北峰街道云峰路</t>
  </si>
  <si>
    <t>江苏省徐州市云龙区黄山街道徐州和平妇产医院尚仕名邸商业广场</t>
  </si>
  <si>
    <t>福建省泉州市丰泽区东海街道长垵</t>
  </si>
  <si>
    <t>上海市闵行区新虹街道上海虹桥站(南10出发)上海虹桥站</t>
  </si>
  <si>
    <t>江苏省徐州市泉山区湖滨街道湖北路</t>
  </si>
  <si>
    <t>北京市东城区和平里街道兴化路国家安全生产监督管理总局</t>
  </si>
  <si>
    <t>福建省三明市沙县虬江街道朴拙传统文化艺术赞</t>
  </si>
  <si>
    <t>福建省三明市沙县凤岗街道明光大桥</t>
  </si>
  <si>
    <t>福建省三明市永安市燕南街道燕江南路19永安市不动产登记中心</t>
  </si>
  <si>
    <t>福建省厦门市湖里区湖里街道长岸路</t>
  </si>
  <si>
    <t>福建省泉州市丰泽区东海街道滨海街</t>
  </si>
  <si>
    <t>福建省泉州市丰泽区东海街道城建·青年公寓(海星店)</t>
  </si>
  <si>
    <t>福建省泉州市丰泽区东海街道东云路现代家居广场</t>
  </si>
  <si>
    <t>福建省泉州市丰泽区东海街道老钱饭店</t>
  </si>
  <si>
    <t>广东省深圳市龙华区民治街道深圳北站(B2出站口)深圳北站</t>
  </si>
  <si>
    <t>福建省泉州市丰泽区东海街道通港路泉州森林公园</t>
  </si>
  <si>
    <t>福建省厦门市湖里区殿前街道兴湖路29号碧桂园启航大厦</t>
  </si>
  <si>
    <t>江苏省徐州市鼓楼区金山桥街道驮蓝山路</t>
  </si>
  <si>
    <t>福建省厦门市湖里区湖里街道华昌路158北方商务大厦</t>
  </si>
  <si>
    <t>福建省厦门市海沧区海沧街道兴港路北京师范大学厦门海沧附属学校(体育中心校区)</t>
  </si>
  <si>
    <t>福建省泉州市丰泽区北峰街道朋山路</t>
  </si>
  <si>
    <t>福建省厦门市海沧区海沧街道海虹路99海虹楼</t>
  </si>
  <si>
    <t>福建省厦门市海沧区海沧街道海沧大道55佳丽城市便捷酒店(厦门鼓浪屿嵩屿码头店)</t>
  </si>
  <si>
    <t>福建省厦门市湖里区湖里街道长岸路新时代大厦(湖里大道)</t>
  </si>
  <si>
    <t>福建省泉州市晋江市新塘街道和丰路</t>
  </si>
  <si>
    <t>福建省三明市永安市燕南街道燕江中路1483永安市竹产业研究院</t>
  </si>
  <si>
    <t>安徽省芜湖市鸠江区官陡街道大阳垾路东部星城东区</t>
  </si>
  <si>
    <t>安徽省池州市贵池区梅龙街道凤鸣大道</t>
  </si>
  <si>
    <t>福建省三明市沙县凤岗街道三官堂路4幢</t>
  </si>
  <si>
    <t>福建省厦门市海沧区东孚街道孚莲路辅路</t>
  </si>
  <si>
    <t>福建省厦门市湖里区湖里街道长岸路86-144号恒丰花园</t>
  </si>
  <si>
    <t>福建省泉州市丰泽区东海街道滨海街泉州市教育局</t>
  </si>
  <si>
    <t>福建省厦门市湖里区金山街道仙岳路入口厦门朗豪酒店</t>
  </si>
  <si>
    <t>江苏省苏州市吴江区松陵街道交通南路2650号</t>
  </si>
  <si>
    <t>江苏省南通市通州区兴东街道南通兴东国际机场T3航站楼(国际出发)南通兴东国际机场</t>
  </si>
  <si>
    <t>福建省厦门市翔安区大嶝街道环嶝北路</t>
  </si>
  <si>
    <t>福建省厦门市海沧区海沧街道马青路辅路</t>
  </si>
  <si>
    <t>福建省厦门市思明区筼筜街道比亚迪汽车厦门驰宇销售服务店</t>
  </si>
  <si>
    <t>福建省泉州市丰泽区东海街道海星街</t>
  </si>
  <si>
    <t>江苏省南京市玄武区玄武湖街道宝旺车业</t>
  </si>
  <si>
    <t>江苏省苏州市吴江区松陵街道江中小区江中小区(垂虹路)</t>
  </si>
  <si>
    <t>江苏省苏州市吴江区江陵街道维也纳酒店(吴江汽车客运站店)新港·天城</t>
  </si>
  <si>
    <t>福建省福州市福清市石竹街道清宏路</t>
  </si>
  <si>
    <t>福建省泉州市丰泽区丰泽街道刺桐北路430-432号宏辉人保花苑</t>
  </si>
  <si>
    <t>福建省福州市台江区洋中街道味嘉乐餐馆</t>
  </si>
  <si>
    <t>上海市长宁区程家桥街道迎宾一路700号上海虹桥国际机场1号航站楼</t>
  </si>
  <si>
    <t>江苏省苏州市吴江区江陵街道龙桥路626号</t>
  </si>
  <si>
    <t>福建省泉州市晋江市青阳街道和平中路220号好莱斯登大酒店(和平中路)</t>
  </si>
  <si>
    <t>福建省泉州市丰泽区清源街道泉山路清源普明社区(埭内路)</t>
  </si>
  <si>
    <t>福建省泉州市丰泽区东海街道坪山路187号豪盛花苑小区</t>
  </si>
  <si>
    <t>福建省泉州市丰泽区东海街道高技修车(东海爱卡尔店)海星小区</t>
  </si>
  <si>
    <t>福建省厦门市湖里区金山街道凤头路</t>
  </si>
  <si>
    <t>福建省厦门市海沧区海沧街道南海三路</t>
  </si>
  <si>
    <t>福建省厦门市湖里区湖里街道长岸路132号恒丰花园</t>
  </si>
  <si>
    <t>福建省泉州市丰泽区东海街道东云路434号</t>
  </si>
  <si>
    <t>福建省厦门市海沧区海沧街道爱心幼儿园厦门市锦里小学</t>
  </si>
  <si>
    <t>福建省泉州市丰泽区东海街道东滨路1607号后埔社区便民服务市场</t>
  </si>
  <si>
    <t>福建省泉州市丰泽区城东街道安吉路中骏·世界城新馆</t>
  </si>
  <si>
    <t>福建省福州市福清市龙山街道融宽环路</t>
  </si>
  <si>
    <t>福建省泉州市丰泽区东海街道丰泽区第四中心幼儿园海星小区</t>
  </si>
  <si>
    <t>福建省泉州市丰泽区丰泽街道田淮街100号泉州轻艺大厦</t>
  </si>
  <si>
    <t>福建省泉州市洛江区双阳街道沙县小吃</t>
  </si>
  <si>
    <t>江苏省苏州市吴江区松陵街道</t>
  </si>
  <si>
    <t>江苏省徐州市泉山区火花街道卧牛山路美的公园天下(建设中)</t>
  </si>
  <si>
    <t>福建省厦门市思明区莲前街道环岛东路椰风寨</t>
  </si>
  <si>
    <t>福建省泉州市丰泽区丰泽街道田淮街96号泉州轻艺大厦</t>
  </si>
  <si>
    <t>福建省泉州市丰泽区东海街道沙县小吃(海星小区店)海星小区</t>
  </si>
  <si>
    <t>福建省泉州市丰泽区东海街道老钱饭店(后渚港店)</t>
  </si>
  <si>
    <t>福建省泉州市丰泽区东海街道丰泽区第四中心幼儿园丰泽区实幼东海校区</t>
  </si>
  <si>
    <t>福建省泉州市晋江市青阳街道泉州晋江国际机场航站楼(国内出发)</t>
  </si>
  <si>
    <t>福建省泉州市丰泽区东海街道福建省德胜机械租赁有限公司滨海公园</t>
  </si>
  <si>
    <t>福建省厦门市海沧区海沧街道兴港路886精品酒店(海沧区政府店)</t>
  </si>
  <si>
    <t>福建省厦门市海沧区海沧街道886精品酒店(海沧区政府店)</t>
  </si>
  <si>
    <t>福建省厦门市海沧区海沧街道雅恩幼儿园</t>
  </si>
  <si>
    <t>福建省泉州市丰泽区丰泽街道坪山路泉州职业技术大学</t>
  </si>
  <si>
    <t>福建省厦门市海沧区海沧街道南海三路1060号之2未来橙堡</t>
  </si>
  <si>
    <t>江苏省徐州市云龙区子房街道津浦西路32号</t>
  </si>
  <si>
    <t>陕西省榆林市榆阳区鼓楼街道长城中路</t>
  </si>
  <si>
    <t>陕西省榆林市榆阳区长城路街道长城中路</t>
  </si>
  <si>
    <t>山西省太原市迎泽区文庙街道五一东街山西华苑宾馆</t>
  </si>
  <si>
    <t>福建省厦门市海沧区东孚街道孚莲路</t>
  </si>
  <si>
    <t>福建省厦门市海沧区海沧街道全惠超市海沧店文圃花园</t>
  </si>
  <si>
    <t>福建省厦门市湖里区湖里街道三航大厦航成酒店</t>
  </si>
  <si>
    <t>福建省厦门市思明区筼筜街道湖滨西路辅路海湾公园</t>
  </si>
  <si>
    <t>福建省厦门市思明区中华街道厦门市社会科学院厦门瑞颐大酒店</t>
  </si>
  <si>
    <t>福建省厦门市海沧区海沧街道海沧大道佳丽城市便捷酒店(厦门鼓浪屿嵩屿码头店)</t>
  </si>
  <si>
    <t>福建省厦门市海沧区海沧街道滨湖北路国家税务总局厦门市海沧区税务局</t>
  </si>
  <si>
    <t>福建省厦门市海沧区海沧街道味友养生美食斋(海沧店)青礁慈济祖宫</t>
  </si>
  <si>
    <t>福建省厦门市思明区鹭江街道西应殿街128号禹洲华侨海景城</t>
  </si>
  <si>
    <t>陕西省咸阳市渭城区底张街道西安咸阳国际机场候机区西安咸阳国际机场T3航站楼</t>
  </si>
  <si>
    <t>福建省厦门市海沧区海沧街道南阳电喷油泵油嘴增压器</t>
  </si>
  <si>
    <t>福建省厦门市思明区鹭江街道御景苑A栋</t>
  </si>
  <si>
    <t>福建省厦门市海沧区海沧街道南海三路未来橙堡</t>
  </si>
  <si>
    <t>福建省厦门市湖里区江头街道吕岭路福星花园</t>
  </si>
  <si>
    <t>福建省厦门市湖里区湖里街道华昌路187号航成酒店</t>
  </si>
  <si>
    <t>江苏省苏州市吴江区江陵街道农村新区(吴江市客货出租GPS调度中心西)</t>
  </si>
  <si>
    <t>江苏省苏州市吴江区江陵街道维也纳酒店(吴江汽车客运站店)天城花园</t>
  </si>
  <si>
    <t>福建省厦门市思明区鹭江街道西应殿街126号禹洲华侨海景城</t>
  </si>
  <si>
    <t>福建省厦门市湖里区湖里街道长岸路中石化森美湖里加油站</t>
  </si>
  <si>
    <t>福建省厦门市海沧区海沧街道厦门海沧融信华邑酒店</t>
  </si>
  <si>
    <t>福建省厦门市海沧区海沧街道美佳轩大众餐馆未来橙堡</t>
  </si>
  <si>
    <t>福建省泉州市丰泽区东海街道双垵街100号</t>
  </si>
  <si>
    <t>福建省厦门市集美区杏滨街道西滨路</t>
  </si>
  <si>
    <t>江苏省苏州市吴江区江陵街道日月光华文化艺术中心维也纳酒店(吴江汽车客运站店)</t>
  </si>
  <si>
    <t>江苏省徐州市鼓楼区金山桥街道徐州工程机械集团进出口有限公司(驮蓝山路)</t>
  </si>
  <si>
    <t>福建省厦门市湖里区殿前街道410县道厦航新生产基地</t>
  </si>
  <si>
    <t>福建省厦门市思明区鹭江街道禾祥西二路89号之15禹洲华侨海景城</t>
  </si>
  <si>
    <t>福建省厦门市思明区鹭江街道湖滨西路75号鹭江社区公园</t>
  </si>
  <si>
    <t>福建省厦门市海沧区海沧街道兴港路478号886精品酒店(海沧区政府店)</t>
  </si>
  <si>
    <t>福建省厦门市思明区鹭江街道湖滨西路鹭江社区公园</t>
  </si>
  <si>
    <t>福建省厦门市海沧区崇屿街道未来海岸社区佳丽城市便捷酒店(厦门鼓浪屿嵩屿码头店)</t>
  </si>
  <si>
    <t>福建省厦门市集美区杏林街道杏林湾路344号杏林湾商务营运中心</t>
  </si>
  <si>
    <t>福建省厦门市湖里区湖里街道仙岳路</t>
  </si>
  <si>
    <t>福建省厦门市湖里区湖里街道长岸路252号B幢金龙大厦</t>
  </si>
  <si>
    <t>福建省厦门市思明区筼筜街道湖滨西路海湾公园</t>
  </si>
  <si>
    <t>福建省厦门市海沧区崇屿街道瑞亚海岸假日酒店佳丽城市便捷酒店(厦门鼓浪屿嵩屿码头店)</t>
  </si>
  <si>
    <t>福建省厦门市湖里区江头街道仙岳路辅路</t>
  </si>
  <si>
    <t>江苏省苏州市吴江区江陵街道湖滨公社粗菜馆(联杨路)</t>
  </si>
  <si>
    <t>江苏省苏州市吴江区江陵街道庞杨路1585号城南花苑南区</t>
  </si>
  <si>
    <t>福建省厦门市湖里区禾山街道云顶北路福建省厦门双十中学</t>
  </si>
  <si>
    <t>江苏省徐州市泉山区火花街道卧牛山路美的公园天下</t>
  </si>
  <si>
    <t>福建省泉州市丰泽区东海街道阿义美食馆海星小区</t>
  </si>
  <si>
    <t>福建省厦门市海沧区崇屿街道沧桐路</t>
  </si>
  <si>
    <t>江苏省徐州市泉山区湖滨街道工农南路72号湖滨东村</t>
  </si>
  <si>
    <t>福建省厦门市海沧区崇屿街道海沧大道</t>
  </si>
  <si>
    <t>福建省厦门市集美区杏林街道视佳华润橡树湾3期</t>
  </si>
  <si>
    <t>福建省厦门市海沧区崇屿街道佳丽城市便捷酒店(厦门鼓浪屿嵩屿码头店)</t>
  </si>
  <si>
    <t>福建省厦门市海沧区海沧街道洪峰川菜馆</t>
  </si>
  <si>
    <t>福建省泉州市丰泽区丰泽街道刺桐北路326号泉州轻艺大厦</t>
  </si>
  <si>
    <t>福建省厦门市湖里区江头街道仙岳路辅路厦门市肝病中心</t>
  </si>
  <si>
    <t>福建省厦门市湖里区湖里街道兴湖路三航大厦(华昌路)</t>
  </si>
  <si>
    <t>福建省厦门市海沧区崇屿街道马青路</t>
  </si>
  <si>
    <t>福建省厦门市海沧区海沧街道马青路辅路海沧国际汽贸城</t>
  </si>
  <si>
    <t>福建省厦门市思明区鹭江街道湖滨西路御景苑</t>
  </si>
  <si>
    <t>福建省厦门市海沧区海沧街道水岸名筑</t>
  </si>
  <si>
    <t>福建省厦门市思明区莲前街道蔡岭路厦门华联电子股份有限公司</t>
  </si>
  <si>
    <t>福建省厦门市海沧区海沧街道G76厦蓉高速海沧玻璃工业园</t>
  </si>
  <si>
    <t>福建省厦门市思明区筼筜街道官任路特贸苑</t>
  </si>
  <si>
    <t>福建省厦门市海沧区海沧街道仁心红药房(兴港分店)水岸名筑</t>
  </si>
  <si>
    <t>福建省厦门市湖里区湖里街道兴湖路18之39号航成酒店</t>
  </si>
  <si>
    <t>福建省泉州市丰泽区丰泽街道田淮街92号泉州轻艺大厦</t>
  </si>
  <si>
    <t>福建省厦门市海沧区海沧街道锦里中心幼儿园</t>
  </si>
  <si>
    <t>福建省厦门市海沧区崇屿街道海虹二路金龙商城</t>
  </si>
  <si>
    <t>福建省厦门市海沧区海沧街道南海三路600-104号</t>
  </si>
  <si>
    <t>福建省厦门市海沧区海沧街道南海三路998-2号未来橙堡</t>
  </si>
  <si>
    <t>江苏省盐城市亭湖区东亭湖街道盐城国际软件园6栋</t>
  </si>
  <si>
    <t>江苏省盐城市亭湖区东亭湖街道中国建设银行(盐城开发区支行)盐城国际软件园</t>
  </si>
  <si>
    <t>福建省厦门市海沧区海沧街道锦里中心幼儿园厦门市锦里小学</t>
  </si>
  <si>
    <t>福建省厦门市思明区筼筜街道仙岳路辅路南岳山庄</t>
  </si>
  <si>
    <t>福建省厦门市集美区杏林街道杏林湾路464号惠龙大厦</t>
  </si>
  <si>
    <t>江苏省苏州市吴江区八坼街道吴江东顺汽车销售服务有限公司一汽马自达(东顺店)</t>
  </si>
  <si>
    <t>江苏省盐城市亭湖区东亭湖街道江苏伊曼雅实业有限公司(希望大道)伊曼雅产业园区</t>
  </si>
  <si>
    <t>江苏省南京市江宁区秣陵街道爱陵路88号</t>
  </si>
  <si>
    <t>福建省厦门市湖里区禾山街道金湖路927号家和春天酒店(机场店)</t>
  </si>
  <si>
    <t>福建省厦门市思明区鹭江街道鹭江道302号禹洲华侨海景城</t>
  </si>
  <si>
    <t>福建省福州市台江区鳌峰街道鳌峰广场apm商场</t>
  </si>
  <si>
    <t>福建省泉州市丰泽区城东街道丰海路福建省泉州市第一医院(城东分院)</t>
  </si>
  <si>
    <t>福建省龙岩市新罗区南城街道小溪路水晶嘉园</t>
  </si>
  <si>
    <t>福建省龙岩市新罗区东城街道新旗牌路</t>
  </si>
  <si>
    <t>福建省厦门市海沧区嵩屿街道海虹路</t>
  </si>
  <si>
    <t>江苏省苏州市吴中区唯亭街道鱼情未了(唯亭店)</t>
  </si>
  <si>
    <t>江苏省徐州市泉山区火花街道纵三路荣盛城</t>
  </si>
  <si>
    <t>江苏省徐州市云龙区翠屏山街道乔家湖(地铁站)徐州地铁大厦</t>
  </si>
  <si>
    <t>江苏省苏州市吴江区松陵街道交通南路东升宾馆(松陵店)</t>
  </si>
  <si>
    <t>福建省厦门市翔安区金海街道厦门国贸控股建设开发有限公司新会展中心项目管理部</t>
  </si>
  <si>
    <t>福建省泉州市丰泽区东海街道泉秀街</t>
  </si>
  <si>
    <t>福建省厦门市海沧区海沧街道兴港路661号绿苑·水岸名筑</t>
  </si>
  <si>
    <t>福建省泉州市丰泽区东海街道泉州市公安局出入境管理支队泉州市行政服务中心</t>
  </si>
  <si>
    <t>江苏省无锡市新吴区江溪街道长江北路新区哥伦布广场</t>
  </si>
  <si>
    <t>江苏省无锡市梁溪区广益街道锡沪中路318号青皮树酒店(锡沪路靖海公园店)</t>
  </si>
  <si>
    <t>福建省泉州市丰泽区东海街道双垵街海星小区1期</t>
  </si>
  <si>
    <t>江苏省泰州市姜堰区三水街道996商务快捷宾馆华东五金城</t>
  </si>
  <si>
    <t>江苏省徐州市泉山区火花街道夏墨儿美术·雨润店美润园</t>
  </si>
  <si>
    <t>江苏省无锡市滨湖区马山街道苏锡常南部高速</t>
  </si>
  <si>
    <t>山东省济南市济阳区回河街道矗峰重工</t>
  </si>
  <si>
    <t>江苏省苏州市吴中区郭巷街道警校路尹湖陵园</t>
  </si>
  <si>
    <t>浙江省绍兴市越城区沥海街道海峰道阳光苑</t>
  </si>
  <si>
    <t>浙江省绍兴市越城区沥海街道园南路</t>
  </si>
  <si>
    <t>浙江省绍兴市越城区沥海街道海东路21-20号沥海综合市场</t>
  </si>
  <si>
    <t>浙江省绍兴市越城区沥海街道绍兴君尚快捷酒店沥海综合市场</t>
  </si>
  <si>
    <t>浙江省绍兴市越城区沥海街道绍兴市万事兴伞业有限公司中瑞塑胶</t>
  </si>
  <si>
    <t>江苏省徐州市泉山区火花街道纵三路美润园</t>
  </si>
  <si>
    <t>江苏省徐州市泉山区火花街道新生米线(雨润新城店)美润园</t>
  </si>
  <si>
    <t>浙江省绍兴市越城区沥海街道绍兴立海酒店海悦大酒店(沥海店)</t>
  </si>
  <si>
    <t>福建省三明市沙县区凤岗街道华盛精品酒店</t>
  </si>
  <si>
    <t>江苏省徐州市贾汪区金龙湖街道麦当劳(高铁徐州东站二店)徐州东站</t>
  </si>
  <si>
    <t>江苏省泰州市姜堰区三水街道G1515盐靖高速华东五金城</t>
  </si>
  <si>
    <t>江苏省苏州市吴江区江陵街道长板路庞杨北区城南花苑</t>
  </si>
  <si>
    <t>福建省厦门市湖里区湖里街道华盛路嘉湖花园</t>
  </si>
  <si>
    <t>福建省三明市沙县区凤岗街道长泰南路284号</t>
  </si>
  <si>
    <t>福建省泉州市晋江市青阳街道泉州晋江国际机场航站楼(国际/港澳台到达)</t>
  </si>
  <si>
    <t>江苏省苏州市常熟市虞山街道西三环路</t>
  </si>
  <si>
    <t>江苏省苏州市常熟市虞山街道健康巷15号金海华丽嘉酒店</t>
  </si>
  <si>
    <t>浙江省绍兴市越城区沥海街道海东路沥海综合市场</t>
  </si>
  <si>
    <t>浙江省绍兴市越城区沥海街道滨海公安分局滨江苑</t>
  </si>
  <si>
    <t>江苏省苏州市常熟市琴川街道吴渺线</t>
  </si>
  <si>
    <t>江苏省南通市通州区金新街道南通明达(北门)</t>
  </si>
  <si>
    <t>江苏省泰州市姜堰区三水街道中心大道华东五金城</t>
  </si>
  <si>
    <t>江苏省苏州市常熟市琴川街道珠江东路创富世纪·南苑</t>
  </si>
  <si>
    <t>江苏省苏州市常熟市琴川街道叶家巷路</t>
  </si>
  <si>
    <t>江苏省苏州市吴江区江陵街道运东大道199号聚龙阁1号</t>
  </si>
  <si>
    <t>江苏省南京市江宁区东山街道新坤停车场江苏德林环保技术有限公司</t>
  </si>
  <si>
    <t>江苏省徐州市泉山区火花街道邻村二妮菜煎饼(美的店)美润园</t>
  </si>
  <si>
    <t>江苏省徐州市鼓楼区金山桥街道蟠桃山路154号</t>
  </si>
  <si>
    <t>江苏省徐州市泉山区永安街道煤建一街煤建1街1号6室一六九勘探队地质家园</t>
  </si>
  <si>
    <t>浙江省绍兴市越城区沥海街道鹭洲路中瑞塑胶</t>
  </si>
  <si>
    <t>福建省龙岩市新罗区西陂街道犀牛路龙岩市实验小学龙州校区</t>
  </si>
  <si>
    <t>江苏省苏州市常熟市琴川街道琴湖路225-227号琴湖新村三区</t>
  </si>
  <si>
    <t>江苏省徐州市云龙区子房街道下淀羊肉馆包子铺贵邦俊园</t>
  </si>
  <si>
    <t>江苏省苏州市常熟市琴川街道迪克汉堡琴湖小区四区</t>
  </si>
  <si>
    <t>江苏省徐州市泉山区段庄街道西三环路</t>
  </si>
  <si>
    <t>江苏省泰州市姜堰区三水街道五金路105号华东五金城</t>
  </si>
  <si>
    <t>江苏省泰州市姜堰区三水街道格林豪泰智选酒店(泰州五金城店)华东五金城</t>
  </si>
  <si>
    <t>江苏省无锡市惠山区长安街道高惠路天力商业广场</t>
  </si>
  <si>
    <t>福建省厦门市海沧区海沧街道中国有限储蓄银行禹洲·领海</t>
  </si>
  <si>
    <t>江苏省苏州市常熟市琴川街道红泾里琴湖小区四区</t>
  </si>
  <si>
    <t>江苏省苏州市常熟市琴川街道泰山南路开元小学</t>
  </si>
  <si>
    <t>江苏省苏州市吴中区胜浦街道亭南路苏州普洛斯物流园西区</t>
  </si>
  <si>
    <t>江苏省苏州市吴中区唯亭街道通和路10号5栋浦田工业园</t>
  </si>
  <si>
    <t>江苏省苏州市吴中区唯亭街道震川西路浦田工业园</t>
  </si>
  <si>
    <t>江苏省南通市崇川区中兴街道南通雕与刻标牌有限公司中格复合材料(南通)有限公司</t>
  </si>
  <si>
    <t>江苏省泰州市姜堰区三水街道姜堰大道8-1号华东五金城</t>
  </si>
  <si>
    <t>福建省厦门市湖里区殿前街道厦门高崎国际机场T4航站楼停车场</t>
  </si>
  <si>
    <t>江苏省苏州市吴中区唯亭街道金陵西路164号唯亭旺角</t>
  </si>
  <si>
    <t>江苏省苏州市吴中区唯亭街道肯德基(园区唯亭餐厅)唯亭广场(金陵西路)</t>
  </si>
  <si>
    <t>江苏省苏州市常熟市琴川街道颜港三弄29号院常客隆城市广场</t>
  </si>
  <si>
    <t>江苏省苏州市吴中区唯亭街道金陵西路805号东亭富民商贸区</t>
  </si>
  <si>
    <t>江苏省苏州市常熟市琴川街道漕湖浜琴湖垃圾中转站</t>
  </si>
  <si>
    <t>江苏省泰州市姜堰区三水街道五金路华东五金城</t>
  </si>
  <si>
    <t>江苏省徐州市鼓楼区金山桥街道驮蓝山路徐州市食品药品检验所</t>
  </si>
  <si>
    <t>江苏省盐城市滨海县东坎街道G15沈海高速</t>
  </si>
  <si>
    <t>福建省福州市福清市宏路街道G15沈海高速</t>
  </si>
  <si>
    <t>福建省泉州市丰泽区东海街道坪山路256号</t>
  </si>
  <si>
    <t>江苏省南通市崇川区狼山镇街道银杏餐厅(南通·壹城店)南通·壹城</t>
  </si>
  <si>
    <t>江苏省苏州市常熟市碧溪街道002县道东张派出所</t>
  </si>
  <si>
    <t>江苏省苏州市常熟市琴川街道颜港三弄29号院法米利酒店(常熟步行街店)</t>
  </si>
  <si>
    <t>江苏省徐州市泉山区湖滨街道徐州市泉山区琴乐幼儿园(少年路店)</t>
  </si>
  <si>
    <t>江苏省徐州市鼓楼区金山桥街道三环东路</t>
  </si>
  <si>
    <t>浙江省绍兴市越城区沥海街道滨海新城南(沥海)收费站(G1522常台高速入口)滨海新城南(沥海)收费站(G1522常台高速出口)</t>
  </si>
  <si>
    <t>江苏省苏州市常熟市琴川街道</t>
  </si>
  <si>
    <t>江苏省南京市江宁区秣陵街道殷富街江苏省地质工程勘察院(梅林街)</t>
  </si>
  <si>
    <t>江苏省淮安市清江浦区徐杨街道天玺湾雅苑60号楼天玺湾雅苑(建设中)</t>
  </si>
  <si>
    <t>江苏省淮安市淮安区河下街道HAOSHENG HOTEL兴安华庭</t>
  </si>
  <si>
    <t>江苏省苏州市吴中区唯亭街道中国建设银行(唯亭分理处)唯亭广场(金陵西路)</t>
  </si>
  <si>
    <t>江苏省镇江市句容市崇明街道华阳北路2-1号中国工商银行(句容支行)</t>
  </si>
  <si>
    <t>江苏省南京市江宁区东山街道丰泽路64号华脉国际广场</t>
  </si>
  <si>
    <t>江苏省南京市江宁区秣陵街道铺岗街279号锦江都城酒店(南京江宁东南大学店)</t>
  </si>
  <si>
    <t>江苏省南京市江宁区秣陵街道诚信大道719号锦江都城酒店(南京江宁东南大学店)</t>
  </si>
  <si>
    <t>江苏省徐州市鼓楼区金山桥街道蟠桃山路维也纳酒店(徐州金山桥店)</t>
  </si>
  <si>
    <t>山东省枣庄市薛城区张范街道枣曹路</t>
  </si>
  <si>
    <t>安徽省淮北市相山区南黎街道淮北市太阳城学校华松太阳城</t>
  </si>
  <si>
    <t>江苏省扬州市邗江区西湖街道润蜀路唐悦国际花园</t>
  </si>
  <si>
    <t>山东省烟台市福山区清洋街道县府街43号华霖宾馆</t>
  </si>
  <si>
    <t>山东省威海市环翠区怡园街道福寿斋羊汤馆(利群集团威海购物广场店)利群集团威海购物广场</t>
  </si>
  <si>
    <t>山东省青岛市即墨区通济街道蓝鳌路1157号宝龙生活广场</t>
  </si>
  <si>
    <t>山东省济宁市曲阜市鲁城街道春秋中路曲阜市人力资源和社会保障局</t>
  </si>
  <si>
    <t>山东省枣庄市薛城区新城街道祁连山路阳光花园</t>
  </si>
  <si>
    <t>山东省枣庄市薛城区临城街道龙潭巷广泰花园</t>
  </si>
  <si>
    <t>江苏省徐州市沛县汉兴街道汉兴路</t>
  </si>
  <si>
    <t>安徽省宿州市萧县龙河街道交通东路89号欧尚客商务宾馆</t>
  </si>
  <si>
    <t>江苏省镇江市句容市黄梅街道宁杭北路110号</t>
  </si>
  <si>
    <t>北京市东城区和平里街道奥士凯鑫龙商场青年湖东里</t>
  </si>
  <si>
    <t>北京市东城区和平里街道人力资源和社会保障部社会保障事业管理中心皇城国际中心</t>
  </si>
  <si>
    <t>福建省厦门市思明区鹭江街道鹭江道厦门轮渡码头(鹭江道)</t>
  </si>
  <si>
    <t>福建省厦门市湖里区湖里街道华昌路187号古龙公寓</t>
  </si>
  <si>
    <t>江苏省苏州市吴中区唯亭街道金陵西路唯亭广场(金陵西路)</t>
  </si>
  <si>
    <t>江苏省徐州市鼓楼区金山桥街道东三环路辅路</t>
  </si>
  <si>
    <t>江苏省南京市江宁区东山街道新坤停车场章村科技创新园</t>
  </si>
  <si>
    <t>江苏省南京市江宁区秣陵街道爱陵路88号国昌都市产业园</t>
  </si>
  <si>
    <t>江苏省南京市江宁区秣陵街道锦江都城酒店南京江宁东南大学店大堂锦江都城酒店(南京江宁东南大学店)</t>
  </si>
  <si>
    <t>江苏省南通市崇川区狼山镇街道南大街南通·壹城</t>
  </si>
  <si>
    <t>江苏省苏州市常熟市东南街道军海宾馆辉煌银河商业中心</t>
  </si>
  <si>
    <t>江苏省徐州市泉山区火花街道星雨路西城嘉园</t>
  </si>
  <si>
    <t>江苏省苏州市吴江区江陵街道香为天中餐厅(吴江南方时代广场店)吴江南方时代广场</t>
  </si>
  <si>
    <t>安徽省宿州市埇桥区三八街道拂晓大道万达广场(宿州店)</t>
  </si>
  <si>
    <t>江苏省徐州市鼓楼区金山桥街道蟠桃山路156号徐工集团</t>
  </si>
  <si>
    <t>江苏省徐州市鼓楼区金山桥街道蟠桃山路154号徐工集团</t>
  </si>
  <si>
    <t>江苏省淮安市清江浦区徐杨街道富准路锦江之星(淮安经济开发区店)</t>
  </si>
  <si>
    <t>江苏省淮安市清江浦区南马厂街道徐马线</t>
  </si>
  <si>
    <t>江苏省徐州市鼓楼区金山桥街道驮蓝山路徐工集团</t>
  </si>
  <si>
    <t>江苏省徐州市鼓楼区金山桥街道蟠桃山路150号徐工集团</t>
  </si>
  <si>
    <t>安徽省宿州市埇桥区三八街道宿州浪漫小屋酒店万达公寓</t>
  </si>
  <si>
    <t>安徽省宿州市埇桥区三八街道沪上阿姨鲜果茶(宿州万达广场店)万达广场(宿州店)</t>
  </si>
  <si>
    <t>江苏省徐州市泉山区火花街道杨铭宇黄焖鸡米饭(雨润店)雨润新城玉兰苑</t>
  </si>
  <si>
    <t>江苏省徐州市睢宁县睢河街道天虹大道</t>
  </si>
  <si>
    <t>江苏省徐州市鼓楼区金山桥街道驮蓝山路3号徐工集团</t>
  </si>
  <si>
    <t>安徽省宿州市埇桥区三八街道金牛烧烤(万达华城3期店)万达华城</t>
  </si>
  <si>
    <t>安徽省宿州市埇桥区城东街道淮河东路</t>
  </si>
  <si>
    <t>江苏省南通市崇川区中兴街道开兴路中格复合材料(南通)有限公司</t>
  </si>
  <si>
    <t>江苏省徐州市鼓楼区金山桥街道徐工集团</t>
  </si>
  <si>
    <t>安徽省宿州市埇桥区三八街道拂晓大道934万达华城1期</t>
  </si>
  <si>
    <t>安徽省阜阳市界首市东城街道新阳路科技大楼</t>
  </si>
  <si>
    <t>安徽省淮北市相山区相南街道淮北中海商旅酒店中央花城北区</t>
  </si>
  <si>
    <t>江苏省徐州市鼓楼区金山桥街道驮蓝山路1号徐工集团</t>
  </si>
  <si>
    <t>安徽省宿州市埇桥区三八街道新丰路安徽省宿城第一中学</t>
  </si>
  <si>
    <t>安徽省阜阳市颍州区京九路街道卫武路547号咖啡酒店(阜阳开发区店)</t>
  </si>
  <si>
    <t>安徽省宿州市埇桥区三八街道能跑爱生活的90后摩羯小姐姐公寓(银河二路1号分店)公寓楼B座</t>
  </si>
  <si>
    <t>安徽省宿州市埇桥区三八街道拂晓大道940号万达广场(宿州店)</t>
  </si>
  <si>
    <t>江苏省徐州市泉山区火花街道CoCo都可(雨润新城店)美润园</t>
  </si>
  <si>
    <t>江苏省徐州市贾汪区金龙湖街道永和大王(徐州东站店)徐州东站</t>
  </si>
  <si>
    <t>福建省厦门市海沧区嵩屿街道大自然醉鹅(海沧店)</t>
  </si>
  <si>
    <t>安徽省宿州市埇桥区西关街道磬云北路60号宿州西苑妇产医院</t>
  </si>
  <si>
    <t>安徽省宿州市埇桥区三八街道星之辰龙登和城</t>
  </si>
  <si>
    <t>江苏省苏州市常熟市虞山街道虞山南路虞山国家森林公园</t>
  </si>
  <si>
    <t>江苏省苏州市吴江区江陵街道维也纳酒店(苏州吴江汽车客运站店)天城生活广场</t>
  </si>
  <si>
    <t>江苏省徐州市鼓楼区金山桥街道科技路徐工集团</t>
  </si>
  <si>
    <t>安徽省宿州市埇桥区三八街道龙登和城C区6号楼</t>
  </si>
  <si>
    <t>安徽省宿州市埇桥区三八街道通济六路781号龙登和城</t>
  </si>
  <si>
    <t>安徽省宿州市埇桥区西关街道人民中路宿州埇桥吾悦广场</t>
  </si>
  <si>
    <t>安徽省宿州市埇桥区埇桥街道中山街宿州商场(文化街店)</t>
  </si>
  <si>
    <t>江苏省徐州市铜山区铜山街道大学路283号徐州市第一人民医院</t>
  </si>
  <si>
    <t>江苏省南通市崇川区中兴街道开瑞租赁中格复合材料(南通)有限公司</t>
  </si>
  <si>
    <t>安徽省宿州市埇桥区三八街道宿州龙登开元颐居酒店龙登和城</t>
  </si>
  <si>
    <t>江苏省徐州市泉山区火花街道星雨路美润园</t>
  </si>
  <si>
    <t>江苏省南京市栖霞区燕子矶街道栖霞大道8-1号高力大厦</t>
  </si>
  <si>
    <t>江苏省徐州市贾汪区金龙湖街道龙湖西路29号玺悦龙城</t>
  </si>
  <si>
    <t>江苏省徐州市泉山区泰山街道集群路江苏师范大学奎园校区</t>
  </si>
  <si>
    <t>江苏省徐州市鼓楼区琵琶街道陈琵路</t>
  </si>
  <si>
    <t>江苏省徐州市泉山区泰山街道徐州软件园-C-3</t>
  </si>
  <si>
    <t>江苏省徐州市泉山区泰山街道集群路中国矿业大学国家大学科技园</t>
  </si>
  <si>
    <t>江苏省南通市崇川区新开街道星湖街南通101时尚酒店(星湖101广场店)</t>
  </si>
  <si>
    <t>江苏省苏州市吴江区八坼街道三多港</t>
  </si>
  <si>
    <t>江苏省徐州市泉山区泰山街道金山东路中国矿业大学国家大学科技园</t>
  </si>
  <si>
    <t>江苏省徐州市泉山区泰山街道集群路科技广场</t>
  </si>
  <si>
    <t>江苏省徐州市泉山区泰山街道软件园路中国矿业大学国家大学科技园</t>
  </si>
  <si>
    <t>福建省厦门市海沧区海沧街道兴港路1940号886精品酒店(海沧区政府店)</t>
  </si>
  <si>
    <t>福建省莆田市荔城区拱辰街道仪莘路万通花园</t>
  </si>
  <si>
    <t>福建省厦门市湖里区湖里街道长岸路130号恒丰花园</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</si>
</sst>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4">
    <font>
      <sz val="11"/>
      <color theme="1"/>
      <name val="宋体"/>
      <charset val="134"/>
      <scheme val="minor"/>
    </font>
    <font>
      <sz val="10"/>
      <color rgb="FF000000"/>
      <name val="黑体"/>
      <charset val="134"/>
    </font>
    <font>
      <sz val="10"/>
      <color indexed="8"/>
      <name val="黑体"/>
      <charset val="134"/>
    </font>
    <font>
      <sz val="9"/>
      <color rgb="FF000000"/>
      <name val="宋体"/>
      <charset val="134"/>
    </font>
    <font>
      <sz val="9.75"/>
      <color rgb="FF000000"/>
      <name val="Consolas"/>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6">
    <fill>
      <patternFill patternType="none"/>
    </fill>
    <fill>
      <patternFill patternType="gray125"/>
    </fill>
    <fill>
      <patternFill patternType="solid">
        <fgColor rgb="FF99CCFF"/>
        <bgColor indexed="64"/>
      </patternFill>
    </fill>
    <fill>
      <patternFill patternType="solid">
        <fgColor indexed="9"/>
        <bgColor indexed="64"/>
      </patternFill>
    </fill>
    <fill>
      <patternFill patternType="solid">
        <fgColor indexed="6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0" fillId="5" borderId="3" applyNumberFormat="0" applyFont="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4"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3" fillId="6" borderId="6" applyNumberFormat="0" applyAlignment="0" applyProtection="0">
      <alignment vertical="center"/>
    </xf>
    <xf numFmtId="0" fontId="14" fillId="7" borderId="7" applyNumberFormat="0" applyAlignment="0" applyProtection="0">
      <alignment vertical="center"/>
    </xf>
    <xf numFmtId="0" fontId="15" fillId="7" borderId="6" applyNumberFormat="0" applyAlignment="0" applyProtection="0">
      <alignment vertical="center"/>
    </xf>
    <xf numFmtId="0" fontId="16" fillId="8" borderId="8" applyNumberFormat="0" applyAlignment="0" applyProtection="0">
      <alignment vertical="center"/>
    </xf>
    <xf numFmtId="0" fontId="17" fillId="0" borderId="9" applyNumberFormat="0" applyFill="0" applyAlignment="0" applyProtection="0">
      <alignment vertical="center"/>
    </xf>
    <xf numFmtId="0" fontId="18" fillId="0" borderId="10" applyNumberFormat="0" applyFill="0" applyAlignment="0" applyProtection="0">
      <alignment vertical="center"/>
    </xf>
    <xf numFmtId="0" fontId="19" fillId="9" borderId="0" applyNumberFormat="0" applyBorder="0" applyAlignment="0" applyProtection="0">
      <alignment vertical="center"/>
    </xf>
    <xf numFmtId="0" fontId="20" fillId="10" borderId="0" applyNumberFormat="0" applyBorder="0" applyAlignment="0" applyProtection="0">
      <alignment vertical="center"/>
    </xf>
    <xf numFmtId="0" fontId="21" fillId="11" borderId="0" applyNumberFormat="0" applyBorder="0" applyAlignment="0" applyProtection="0">
      <alignment vertical="center"/>
    </xf>
    <xf numFmtId="0" fontId="22" fillId="12" borderId="0" applyNumberFormat="0" applyBorder="0" applyAlignment="0" applyProtection="0">
      <alignment vertical="center"/>
    </xf>
    <xf numFmtId="0" fontId="23" fillId="13" borderId="0" applyNumberFormat="0" applyBorder="0" applyAlignment="0" applyProtection="0">
      <alignment vertical="center"/>
    </xf>
    <xf numFmtId="0" fontId="23" fillId="14" borderId="0" applyNumberFormat="0" applyBorder="0" applyAlignment="0" applyProtection="0">
      <alignment vertical="center"/>
    </xf>
    <xf numFmtId="0" fontId="22" fillId="15" borderId="0" applyNumberFormat="0" applyBorder="0" applyAlignment="0" applyProtection="0">
      <alignment vertical="center"/>
    </xf>
    <xf numFmtId="0" fontId="22" fillId="16" borderId="0" applyNumberFormat="0" applyBorder="0" applyAlignment="0" applyProtection="0">
      <alignment vertical="center"/>
    </xf>
    <xf numFmtId="0" fontId="23" fillId="17" borderId="0" applyNumberFormat="0" applyBorder="0" applyAlignment="0" applyProtection="0">
      <alignment vertical="center"/>
    </xf>
    <xf numFmtId="0" fontId="23" fillId="18" borderId="0" applyNumberFormat="0" applyBorder="0" applyAlignment="0" applyProtection="0">
      <alignment vertical="center"/>
    </xf>
    <xf numFmtId="0" fontId="22" fillId="19" borderId="0" applyNumberFormat="0" applyBorder="0" applyAlignment="0" applyProtection="0">
      <alignment vertical="center"/>
    </xf>
    <xf numFmtId="0" fontId="22" fillId="20" borderId="0" applyNumberFormat="0" applyBorder="0" applyAlignment="0" applyProtection="0">
      <alignment vertical="center"/>
    </xf>
    <xf numFmtId="0" fontId="23" fillId="21" borderId="0" applyNumberFormat="0" applyBorder="0" applyAlignment="0" applyProtection="0">
      <alignment vertical="center"/>
    </xf>
    <xf numFmtId="0" fontId="23" fillId="22" borderId="0" applyNumberFormat="0" applyBorder="0" applyAlignment="0" applyProtection="0">
      <alignment vertical="center"/>
    </xf>
    <xf numFmtId="0" fontId="22" fillId="23" borderId="0" applyNumberFormat="0" applyBorder="0" applyAlignment="0" applyProtection="0">
      <alignment vertical="center"/>
    </xf>
    <xf numFmtId="0" fontId="22" fillId="24" borderId="0" applyNumberFormat="0" applyBorder="0" applyAlignment="0" applyProtection="0">
      <alignment vertical="center"/>
    </xf>
    <xf numFmtId="0" fontId="23" fillId="25" borderId="0" applyNumberFormat="0" applyBorder="0" applyAlignment="0" applyProtection="0">
      <alignment vertical="center"/>
    </xf>
    <xf numFmtId="0" fontId="23"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3" fillId="29" borderId="0" applyNumberFormat="0" applyBorder="0" applyAlignment="0" applyProtection="0">
      <alignment vertical="center"/>
    </xf>
    <xf numFmtId="0" fontId="23" fillId="30" borderId="0" applyNumberFormat="0" applyBorder="0" applyAlignment="0" applyProtection="0">
      <alignment vertical="center"/>
    </xf>
    <xf numFmtId="0" fontId="22" fillId="31" borderId="0" applyNumberFormat="0" applyBorder="0" applyAlignment="0" applyProtection="0">
      <alignment vertical="center"/>
    </xf>
    <xf numFmtId="0" fontId="22" fillId="32" borderId="0" applyNumberFormat="0" applyBorder="0" applyAlignment="0" applyProtection="0">
      <alignment vertical="center"/>
    </xf>
    <xf numFmtId="0" fontId="23" fillId="33" borderId="0" applyNumberFormat="0" applyBorder="0" applyAlignment="0" applyProtection="0">
      <alignment vertical="center"/>
    </xf>
    <xf numFmtId="0" fontId="23" fillId="34" borderId="0" applyNumberFormat="0" applyBorder="0" applyAlignment="0" applyProtection="0">
      <alignment vertical="center"/>
    </xf>
    <xf numFmtId="0" fontId="22" fillId="35" borderId="0" applyNumberFormat="0" applyBorder="0" applyAlignment="0" applyProtection="0">
      <alignment vertical="center"/>
    </xf>
  </cellStyleXfs>
  <cellXfs count="8">
    <xf numFmtId="0" fontId="0" fillId="0" borderId="0" xfId="0">
      <alignment vertical="center"/>
    </xf>
    <xf numFmtId="0" fontId="1" fillId="2" borderId="1" xfId="0" applyFont="1" applyFill="1" applyBorder="1" applyAlignment="1">
      <alignment horizontal="center" vertical="center"/>
    </xf>
    <xf numFmtId="0" fontId="2" fillId="3" borderId="2" xfId="0" applyFont="1" applyFill="1" applyBorder="1" applyAlignment="1">
      <alignment horizontal="center" vertical="center" wrapText="1"/>
    </xf>
    <xf numFmtId="0" fontId="3" fillId="0" borderId="1" xfId="0" applyFont="1" applyBorder="1" applyAlignment="1">
      <alignment horizontal="left" vertical="center"/>
    </xf>
    <xf numFmtId="0" fontId="0" fillId="0" borderId="0" xfId="0" applyAlignment="1">
      <alignment vertical="center" wrapText="1"/>
    </xf>
    <xf numFmtId="0" fontId="1" fillId="4" borderId="1" xfId="0" applyFont="1" applyFill="1" applyBorder="1" applyAlignment="1">
      <alignment horizontal="center" vertical="center" wrapText="1"/>
    </xf>
    <xf numFmtId="0" fontId="2" fillId="3" borderId="0" xfId="0" applyFont="1" applyFill="1" applyAlignment="1">
      <alignment horizontal="center" vertical="center" wrapText="1"/>
    </xf>
    <xf numFmtId="0" fontId="4" fillId="0" borderId="0" xfId="0" applyFont="1" applyAlignment="1">
      <alignment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microsoft.com/office/2006/relationships/vbaProject" Target="vbaProject.bin"/><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S24"/>
  <sheetViews>
    <sheetView workbookViewId="0">
      <selection activeCell="O2" sqref="O2"/>
    </sheetView>
  </sheetViews>
  <sheetFormatPr defaultColWidth="9" defaultRowHeight="14.4"/>
  <cols>
    <col min="1" max="4" width="27.6296296296296" customWidth="1"/>
  </cols>
  <sheetData>
    <row r="1" ht="24" spans="1:12">
      <c r="A1" s="2" t="s">
        <v>0</v>
      </c>
      <c r="B1" s="6"/>
      <c r="C1" s="6"/>
      <c r="D1" s="6"/>
      <c r="J1" t="str" cm="1">
        <f t="array" ref="J1">LEFT(A1,MIN(FIND({"省","市","区"},A1&amp;"省市区")))</f>
        <v>江苏省</v>
      </c>
      <c r="K1" t="str" cm="1">
        <f t="array" ref="K1">LEFT(SUBSTITUTE(A1,LEFT(A1,MIN(FIND({"省","市","区"},A1&amp;"省市区"))),""),MIN(FIND({"市","区","县"},SUBSTITUTE(A1,LEFT(A1,MIN(FIND({"省","市","区"},A1&amp;"省市区"))),"")&amp;"市区县")))</f>
        <v>连云港市</v>
      </c>
      <c r="L1" t="str" cm="1">
        <f t="array" ref="L1">LEFT(SUBSTITUTE(SUBSTITUTE(A1,LEFT(A1,MIN(FIND({"省","市","区"},A1&amp;"省市区"))),""),LEFT(SUBSTITUTE(A1,LEFT(A1,MIN(FIND({"省","市","区"},A1&amp;"省市区"))),""),MIN(FIND({"市","区","县"},SUBSTITUTE(A1,LEFT(A1,MIN(FIND({"省","市","区"},A1&amp;"省市区"))),"")&amp;"市区县"))),""),MIN(FIND({"市","区","县"},SUBSTITUTE(SUBSTITUTE(A1,LEFT(A1,MIN(FIND({"省","市","区"},A1&amp;"省市区"))),""),LEFT(SUBSTITUTE(A1,LEFT(A1,MIN(FIND({"省","市","区"},A1&amp;"省市区"))),""),MIN(FIND({"市","区","县"},SUBSTITUTE(A1,LEFT(A1,MIN(FIND({"省","市","区"},A1&amp;"省市区"))),"")&amp;"市区县"))),"")&amp;"市区县")))</f>
        <v>海州区</v>
      </c>
    </row>
    <row r="2" ht="24" spans="1:19">
      <c r="A2" s="2" t="s">
        <v>1</v>
      </c>
      <c r="B2" s="6"/>
      <c r="C2" s="6"/>
      <c r="D2" s="6"/>
      <c r="J2" t="str" cm="1">
        <f t="array" ref="J2">LEFT(A2,MIN(FIND({"省","市","区"},A2&amp;"省市区")))</f>
        <v>江苏省</v>
      </c>
      <c r="K2" t="str" cm="1">
        <f t="array" ref="K2">LEFT(SUBSTITUTE(A2,LEFT(A2,MIN(FIND({"省","市","区"},A2&amp;"省市区"))),""),MIN(FIND({"市","区","县"},SUBSTITUTE(A2,LEFT(A2,MIN(FIND({"省","市","区"},A2&amp;"省市区"))),"")&amp;"市区县")))</f>
        <v>连云港市</v>
      </c>
      <c r="L2" t="str" cm="1">
        <f t="array" ref="L2">LEFT(SUBSTITUTE(SUBSTITUTE(A2,LEFT(A2,MIN(FIND({"省","市","区"},A2&amp;"省市区"))),""),LEFT(SUBSTITUTE(A2,LEFT(A2,MIN(FIND({"省","市","区"},A2&amp;"省市区"))),""),MIN(FIND({"市","区","县"},SUBSTITUTE(A2,LEFT(A2,MIN(FIND({"省","市","区"},A2&amp;"省市区"))),"")&amp;"市区县"))),""),MIN(FIND({"市","区","县"},SUBSTITUTE(SUBSTITUTE(A2,LEFT(A2,MIN(FIND({"省","市","区"},A2&amp;"省市区"))),""),LEFT(SUBSTITUTE(A2,LEFT(A2,MIN(FIND({"省","市","区"},A2&amp;"省市区"))),""),MIN(FIND({"市","区","县"},SUBSTITUTE(A2,LEFT(A2,MIN(FIND({"省","市","区"},A2&amp;"省市区"))),"")&amp;"市区县"))),"")&amp;"市区县")))</f>
        <v>海州区</v>
      </c>
      <c r="O2" s="4" t="e" cm="1">
        <f t="array" ref="O2">MID(A2,MAX(IFERROR(FIND({"省","市","区","县"},A2),0))+1,FIND("街道",A2)-MAX(IFERROR(FIND({"省","市","区","县"},A2),0))-1+2)</f>
        <v>#VALUE!</v>
      </c>
      <c r="Q2" s="4" t="e">
        <f t="shared" ref="Q2:Q7" si="0">IF(ISNUMBER(FIND("区",A2)),MID(A2,FIND("区",A2)+1,FIND("街道",A2,FIND("区",A2))-FIND("区",A2)-1),IF(ISNUMBER(FIND("市",A2)),MID(A2,FIND("市",A2)+1,FIND("街道",A2,FIND("市",A2))-FIND("市",A2)-1),"未找到关键字"))&amp;"街道"</f>
        <v>#VALUE!</v>
      </c>
      <c r="S2" s="7" t="e">
        <f t="shared" ref="S2:S7" si="1">IF(ISNUMBER(FIND("区",A2)),MID(A2,FIND("区",A2)+1,FIND("街道",A2,FIND("区",A2))-FIND("区",A2)-1+2),MID(A2,FIND("市",A2)+1,FIND("街道",A2,FIND("市",A2))-FIND("市",A2)-1+2))</f>
        <v>#VALUE!</v>
      </c>
    </row>
    <row r="3" ht="24" spans="1:19">
      <c r="A3" s="2" t="s">
        <v>1</v>
      </c>
      <c r="B3" s="6" t="s">
        <v>2</v>
      </c>
      <c r="C3" s="6" t="s">
        <v>3</v>
      </c>
      <c r="D3" s="6" t="s">
        <v>4</v>
      </c>
      <c r="J3" t="str" cm="1">
        <f t="array" ref="J3">LEFT(A3,MIN(FIND({"省","市","区"},A3&amp;"省市区")))</f>
        <v>江苏省</v>
      </c>
      <c r="K3" t="str" cm="1">
        <f t="array" ref="K3">LEFT(SUBSTITUTE(A3,LEFT(A3,MIN(FIND({"省","市","区"},A3&amp;"省市区"))),""),MIN(FIND({"市","区","县"},SUBSTITUTE(A3,LEFT(A3,MIN(FIND({"省","市","区"},A3&amp;"省市区"))),"")&amp;"市区县")))</f>
        <v>连云港市</v>
      </c>
      <c r="L3" t="str" cm="1">
        <f t="array" ref="L3">LEFT(SUBSTITUTE(SUBSTITUTE(A3,LEFT(A3,MIN(FIND({"省","市","区"},A3&amp;"省市区"))),""),LEFT(SUBSTITUTE(A3,LEFT(A3,MIN(FIND({"省","市","区"},A3&amp;"省市区"))),""),MIN(FIND({"市","区","县"},SUBSTITUTE(A3,LEFT(A3,MIN(FIND({"省","市","区"},A3&amp;"省市区"))),"")&amp;"市区县"))),""),MIN(FIND({"市","区","县"},SUBSTITUTE(SUBSTITUTE(A3,LEFT(A3,MIN(FIND({"省","市","区"},A3&amp;"省市区"))),""),LEFT(SUBSTITUTE(A3,LEFT(A3,MIN(FIND({"省","市","区"},A3&amp;"省市区"))),""),MIN(FIND({"市","区","县"},SUBSTITUTE(A3,LEFT(A3,MIN(FIND({"省","市","区"},A3&amp;"省市区"))),"")&amp;"市区县"))),"")&amp;"市区县")))</f>
        <v>海州区</v>
      </c>
      <c r="O3" s="4" t="e" cm="1">
        <f t="array" ref="O3">MID(A3,MAX(IFERROR(FIND({"省","市","区","县"},A3),0))+1,FIND("街道",A3)-MAX(IFERROR(FIND({"省","市","区","县"},A3),0))-1+2)</f>
        <v>#VALUE!</v>
      </c>
      <c r="Q3" s="4" t="e">
        <f t="shared" si="0"/>
        <v>#VALUE!</v>
      </c>
      <c r="S3" s="7" t="e">
        <f t="shared" si="1"/>
        <v>#VALUE!</v>
      </c>
    </row>
    <row r="4" ht="24" spans="1:19">
      <c r="A4" s="2" t="s">
        <v>5</v>
      </c>
      <c r="B4" s="6"/>
      <c r="C4" s="6"/>
      <c r="D4" s="6"/>
      <c r="J4" t="str" cm="1">
        <f t="array" ref="J4">LEFT(A4,MIN(FIND({"省","市","区"},A4&amp;"省市区")))</f>
        <v>江苏省</v>
      </c>
      <c r="K4" t="str" cm="1">
        <f t="array" ref="K4">LEFT(SUBSTITUTE(A4,LEFT(A4,MIN(FIND({"省","市","区"},A4&amp;"省市区"))),""),MIN(FIND({"市","区","县"},SUBSTITUTE(A4,LEFT(A4,MIN(FIND({"省","市","区"},A4&amp;"省市区"))),"")&amp;"市区县")))</f>
        <v>连云港市</v>
      </c>
      <c r="L4" t="str" cm="1">
        <f t="array" ref="L4">LEFT(SUBSTITUTE(SUBSTITUTE(A4,LEFT(A4,MIN(FIND({"省","市","区"},A4&amp;"省市区"))),""),LEFT(SUBSTITUTE(A4,LEFT(A4,MIN(FIND({"省","市","区"},A4&amp;"省市区"))),""),MIN(FIND({"市","区","县"},SUBSTITUTE(A4,LEFT(A4,MIN(FIND({"省","市","区"},A4&amp;"省市区"))),"")&amp;"市区县"))),""),MIN(FIND({"市","区","县"},SUBSTITUTE(SUBSTITUTE(A4,LEFT(A4,MIN(FIND({"省","市","区"},A4&amp;"省市区"))),""),LEFT(SUBSTITUTE(A4,LEFT(A4,MIN(FIND({"省","市","区"},A4&amp;"省市区"))),""),MIN(FIND({"市","区","县"},SUBSTITUTE(A4,LEFT(A4,MIN(FIND({"省","市","区"},A4&amp;"省市区"))),"")&amp;"市区县"))),"")&amp;"市区县")))</f>
        <v>海州区</v>
      </c>
      <c r="O4" s="4" t="str" cm="1">
        <f t="array" ref="O4">MID(A4,MAX(IFERROR(FIND({"省","市","区","县"},A4),0))+1,FIND("街道",A4)-MAX(IFERROR(FIND({"省","市","区","县"},A4),0))-1+2)</f>
        <v>浦西街道</v>
      </c>
      <c r="Q4" s="4" t="str">
        <f t="shared" si="0"/>
        <v>浦西街道</v>
      </c>
      <c r="S4" s="7" t="str">
        <f t="shared" si="1"/>
        <v>浦西街道</v>
      </c>
    </row>
    <row r="5" ht="36" spans="1:19">
      <c r="A5" s="2" t="s">
        <v>6</v>
      </c>
      <c r="B5" s="6"/>
      <c r="C5" s="6"/>
      <c r="D5" s="6"/>
      <c r="J5" t="str" cm="1">
        <f t="array" ref="J5">LEFT(A5,MIN(FIND({"省","市","区"},A5&amp;"省市区")))</f>
        <v>安徽省</v>
      </c>
      <c r="K5" t="str" cm="1">
        <f t="array" ref="K5">LEFT(SUBSTITUTE(A5,LEFT(A5,MIN(FIND({"省","市","区"},A5&amp;"省市区"))),""),MIN(FIND({"市","区","县"},SUBSTITUTE(A5,LEFT(A5,MIN(FIND({"省","市","区"},A5&amp;"省市区"))),"")&amp;"市区县")))</f>
        <v>合肥市</v>
      </c>
      <c r="L5" t="str" cm="1">
        <f t="array" ref="L5">LEFT(SUBSTITUTE(SUBSTITUTE(A5,LEFT(A5,MIN(FIND({"省","市","区"},A5&amp;"省市区"))),""),LEFT(SUBSTITUTE(A5,LEFT(A5,MIN(FIND({"省","市","区"},A5&amp;"省市区"))),""),MIN(FIND({"市","区","县"},SUBSTITUTE(A5,LEFT(A5,MIN(FIND({"省","市","区"},A5&amp;"省市区"))),"")&amp;"市区县"))),""),MIN(FIND({"市","区","县"},SUBSTITUTE(SUBSTITUTE(A5,LEFT(A5,MIN(FIND({"省","市","区"},A5&amp;"省市区"))),""),LEFT(SUBSTITUTE(A5,LEFT(A5,MIN(FIND({"省","市","区"},A5&amp;"省市区"))),""),MIN(FIND({"市","区","县"},SUBSTITUTE(A5,LEFT(A5,MIN(FIND({"省","市","区"},A5&amp;"省市区"))),"")&amp;"市区县"))),"")&amp;"市区县")))</f>
        <v>长丰县</v>
      </c>
      <c r="O5" s="4" t="e" cm="1">
        <f t="array" ref="O5">MID(A5,MAX(IFERROR(FIND({"省","市","区","县"},A5),0))+1,FIND("街道",A5)-MAX(IFERROR(FIND({"省","市","区","县"},A5),0))-1+2)</f>
        <v>#VALUE!</v>
      </c>
      <c r="Q5" s="4" t="e">
        <f t="shared" si="0"/>
        <v>#VALUE!</v>
      </c>
      <c r="S5" s="7" t="e">
        <f t="shared" si="1"/>
        <v>#VALUE!</v>
      </c>
    </row>
    <row r="6" ht="24" spans="1:19">
      <c r="A6" s="2" t="s">
        <v>7</v>
      </c>
      <c r="B6" s="6"/>
      <c r="C6" s="6"/>
      <c r="D6" s="6"/>
      <c r="J6" t="str" cm="1">
        <f t="array" ref="J6">LEFT(A6,MIN(FIND({"省","市","区"},A6&amp;"省市区")))</f>
        <v>江苏省</v>
      </c>
      <c r="K6" t="str" cm="1">
        <f t="array" ref="K6">LEFT(SUBSTITUTE(A6,LEFT(A6,MIN(FIND({"省","市","区"},A6&amp;"省市区"))),""),MIN(FIND({"市","区","县"},SUBSTITUTE(A6,LEFT(A6,MIN(FIND({"省","市","区"},A6&amp;"省市区"))),"")&amp;"市区县")))</f>
        <v>徐州市</v>
      </c>
      <c r="L6" t="str" cm="1">
        <f t="array" ref="L6">LEFT(SUBSTITUTE(SUBSTITUTE(A6,LEFT(A6,MIN(FIND({"省","市","区"},A6&amp;"省市区"))),""),LEFT(SUBSTITUTE(A6,LEFT(A6,MIN(FIND({"省","市","区"},A6&amp;"省市区"))),""),MIN(FIND({"市","区","县"},SUBSTITUTE(A6,LEFT(A6,MIN(FIND({"省","市","区"},A6&amp;"省市区"))),"")&amp;"市区县"))),""),MIN(FIND({"市","区","县"},SUBSTITUTE(SUBSTITUTE(A6,LEFT(A6,MIN(FIND({"省","市","区"},A6&amp;"省市区"))),""),LEFT(SUBSTITUTE(A6,LEFT(A6,MIN(FIND({"省","市","区"},A6&amp;"省市区"))),""),MIN(FIND({"市","区","县"},SUBSTITUTE(A6,LEFT(A6,MIN(FIND({"省","市","区"},A6&amp;"省市区"))),"")&amp;"市区县"))),"")&amp;"市区县")))</f>
        <v>泉山区</v>
      </c>
      <c r="O6" s="4" t="str" cm="1">
        <f t="array" ref="O6">MID(A6,MAX(IFERROR(FIND({"省","市","区","县"},A6),0))+1,FIND("街道",A6)-MAX(IFERROR(FIND({"省","市","区","县"},A6),0))-1+2)</f>
        <v>泰山街道</v>
      </c>
      <c r="Q6" s="4" t="str">
        <f t="shared" si="0"/>
        <v>泰山街道</v>
      </c>
      <c r="S6" s="7" t="str">
        <f t="shared" si="1"/>
        <v>泰山街道</v>
      </c>
    </row>
    <row r="7" ht="24" spans="1:19">
      <c r="A7" s="2" t="s">
        <v>7</v>
      </c>
      <c r="B7" s="6"/>
      <c r="C7" s="6"/>
      <c r="D7" s="6"/>
      <c r="J7" t="str" cm="1">
        <f t="array" ref="J7">LEFT(A7,MIN(FIND({"省","市","区"},A7&amp;"省市区")))</f>
        <v>江苏省</v>
      </c>
      <c r="K7" t="str" cm="1">
        <f t="array" ref="K7">LEFT(SUBSTITUTE(A7,LEFT(A7,MIN(FIND({"省","市","区"},A7&amp;"省市区"))),""),MIN(FIND({"市","区","县"},SUBSTITUTE(A7,LEFT(A7,MIN(FIND({"省","市","区"},A7&amp;"省市区"))),"")&amp;"市区县")))</f>
        <v>徐州市</v>
      </c>
      <c r="L7" t="str" cm="1">
        <f t="array" ref="L7">LEFT(SUBSTITUTE(SUBSTITUTE(A7,LEFT(A7,MIN(FIND({"省","市","区"},A7&amp;"省市区"))),""),LEFT(SUBSTITUTE(A7,LEFT(A7,MIN(FIND({"省","市","区"},A7&amp;"省市区"))),""),MIN(FIND({"市","区","县"},SUBSTITUTE(A7,LEFT(A7,MIN(FIND({"省","市","区"},A7&amp;"省市区"))),"")&amp;"市区县"))),""),MIN(FIND({"市","区","县"},SUBSTITUTE(SUBSTITUTE(A7,LEFT(A7,MIN(FIND({"省","市","区"},A7&amp;"省市区"))),""),LEFT(SUBSTITUTE(A7,LEFT(A7,MIN(FIND({"省","市","区"},A7&amp;"省市区"))),""),MIN(FIND({"市","区","县"},SUBSTITUTE(A7,LEFT(A7,MIN(FIND({"省","市","区"},A7&amp;"省市区"))),"")&amp;"市区县"))),"")&amp;"市区县")))</f>
        <v>泉山区</v>
      </c>
      <c r="O7" s="4" t="str" cm="1">
        <f t="array" ref="O7">MID(A7,MAX(IFERROR(FIND({"省","市","区","县"},A7),0))+1,FIND("街道",A7)-MAX(IFERROR(FIND({"省","市","区","县"},A7),0))-1+2)</f>
        <v>泰山街道</v>
      </c>
      <c r="Q7" s="4" t="str">
        <f t="shared" si="0"/>
        <v>泰山街道</v>
      </c>
      <c r="S7" s="7" t="str">
        <f t="shared" si="1"/>
        <v>泰山街道</v>
      </c>
    </row>
    <row r="8" ht="24" spans="1:19">
      <c r="A8" s="2" t="s">
        <v>8</v>
      </c>
      <c r="B8" s="6"/>
      <c r="C8" s="6"/>
      <c r="D8" s="6"/>
      <c r="J8" t="str" cm="1">
        <f t="array" ref="J8">LEFT(A8,MIN(FIND({"省","市","区"},A8&amp;"省市区")))</f>
        <v>河南省</v>
      </c>
      <c r="K8" t="str" cm="1">
        <f t="array" ref="K8">LEFT(SUBSTITUTE(A8,LEFT(A8,MIN(FIND({"省","市","区"},A8&amp;"省市区"))),""),MIN(FIND({"市","区","县"},SUBSTITUTE(A8,LEFT(A8,MIN(FIND({"省","市","区"},A8&amp;"省市区"))),"")&amp;"市区县")))</f>
        <v>郑州市</v>
      </c>
      <c r="L8" t="str" cm="1">
        <f t="array" ref="L8">LEFT(SUBSTITUTE(SUBSTITUTE(A8,LEFT(A8,MIN(FIND({"省","市","区"},A8&amp;"省市区"))),""),LEFT(SUBSTITUTE(A8,LEFT(A8,MIN(FIND({"省","市","区"},A8&amp;"省市区"))),""),MIN(FIND({"市","区","县"},SUBSTITUTE(A8,LEFT(A8,MIN(FIND({"省","市","区"},A8&amp;"省市区"))),"")&amp;"市区县"))),""),MIN(FIND({"市","区","县"},SUBSTITUTE(SUBSTITUTE(A8,LEFT(A8,MIN(FIND({"省","市","区"},A8&amp;"省市区"))),""),LEFT(SUBSTITUTE(A8,LEFT(A8,MIN(FIND({"省","市","区"},A8&amp;"省市区"))),""),MIN(FIND({"市","区","县"},SUBSTITUTE(A8,LEFT(A8,MIN(FIND({"省","市","区"},A8&amp;"省市区"))),"")&amp;"市区县"))),"")&amp;"市区县")))</f>
        <v>新郑市</v>
      </c>
      <c r="O8" s="4" t="e" cm="1">
        <f t="array" ref="O8">MID(A8,MAX(IFERROR(FIND({"省","市","区","县"},A8),0))+1,FIND("街道",A8)-MAX(IFERROR(FIND({"省","市","区","县"},A8),0))-1+2)</f>
        <v>#VALUE!</v>
      </c>
      <c r="Q8" s="4" t="e">
        <f t="shared" ref="Q8:Q23" si="2">IF(ISNUMBER(FIND("区",A8)),MID(A8,FIND("区",A8)+1,FIND("街道",A8,FIND("区",A8))-FIND("区",A8)-1),IF(ISNUMBER(FIND("市",A8)),MID(A8,FIND("市",A8)+1,FIND("街道",A8,FIND("市",A8))-FIND("市",A8)-1),"未找到关键字"))&amp;"街道"</f>
        <v>#VALUE!</v>
      </c>
      <c r="S8" s="7" t="e">
        <f t="shared" ref="S8:S24" si="3">IF(ISNUMBER(FIND("区",A8)),MID(A8,FIND("区",A8)+1,FIND("街道",A8,FIND("区",A8))-FIND("区",A8)-1+2),MID(A8,FIND("市",A8)+1,FIND("街道",A8,FIND("市",A8))-FIND("市",A8)-1+2))</f>
        <v>#VALUE!</v>
      </c>
    </row>
    <row r="9" ht="24" spans="1:19">
      <c r="A9" s="2" t="s">
        <v>8</v>
      </c>
      <c r="B9" s="6"/>
      <c r="C9" s="6"/>
      <c r="D9" s="6"/>
      <c r="J9" t="str" cm="1">
        <f t="array" ref="J9">LEFT(A9,MIN(FIND({"省","市","区"},A9&amp;"省市区")))</f>
        <v>河南省</v>
      </c>
      <c r="K9" t="str" cm="1">
        <f t="array" ref="K9">LEFT(SUBSTITUTE(A9,LEFT(A9,MIN(FIND({"省","市","区"},A9&amp;"省市区"))),""),MIN(FIND({"市","区","县"},SUBSTITUTE(A9,LEFT(A9,MIN(FIND({"省","市","区"},A9&amp;"省市区"))),"")&amp;"市区县")))</f>
        <v>郑州市</v>
      </c>
      <c r="L9" t="str" cm="1">
        <f t="array" ref="L9">LEFT(SUBSTITUTE(SUBSTITUTE(A9,LEFT(A9,MIN(FIND({"省","市","区"},A9&amp;"省市区"))),""),LEFT(SUBSTITUTE(A9,LEFT(A9,MIN(FIND({"省","市","区"},A9&amp;"省市区"))),""),MIN(FIND({"市","区","县"},SUBSTITUTE(A9,LEFT(A9,MIN(FIND({"省","市","区"},A9&amp;"省市区"))),"")&amp;"市区县"))),""),MIN(FIND({"市","区","县"},SUBSTITUTE(SUBSTITUTE(A9,LEFT(A9,MIN(FIND({"省","市","区"},A9&amp;"省市区"))),""),LEFT(SUBSTITUTE(A9,LEFT(A9,MIN(FIND({"省","市","区"},A9&amp;"省市区"))),""),MIN(FIND({"市","区","县"},SUBSTITUTE(A9,LEFT(A9,MIN(FIND({"省","市","区"},A9&amp;"省市区"))),"")&amp;"市区县"))),"")&amp;"市区县")))</f>
        <v>新郑市</v>
      </c>
      <c r="O9" s="4" t="e" cm="1">
        <f t="array" ref="O9">MID(A9,MAX(IFERROR(FIND({"省","市","区","县"},A9),0))+1,FIND("街道",A9)-MAX(IFERROR(FIND({"省","市","区","县"},A9),0))-1+2)</f>
        <v>#VALUE!</v>
      </c>
      <c r="Q9" s="4" t="e">
        <f t="shared" si="2"/>
        <v>#VALUE!</v>
      </c>
      <c r="S9" s="7" t="e">
        <f t="shared" si="3"/>
        <v>#VALUE!</v>
      </c>
    </row>
    <row r="10" ht="24" spans="1:19">
      <c r="A10" s="2" t="s">
        <v>9</v>
      </c>
      <c r="B10" s="6"/>
      <c r="C10" s="6"/>
      <c r="D10" s="6"/>
      <c r="J10" t="str" cm="1">
        <f t="array" ref="J10">LEFT(A10,MIN(FIND({"省","市","区"},A10&amp;"省市区")))</f>
        <v>河南省</v>
      </c>
      <c r="K10" t="str" cm="1">
        <f t="array" ref="K10">LEFT(SUBSTITUTE(A10,LEFT(A10,MIN(FIND({"省","市","区"},A10&amp;"省市区"))),""),MIN(FIND({"市","区","县"},SUBSTITUTE(A10,LEFT(A10,MIN(FIND({"省","市","区"},A10&amp;"省市区"))),"")&amp;"市区县")))</f>
        <v>郑州市</v>
      </c>
      <c r="L10" t="str" cm="1">
        <f t="array" ref="L10">LEFT(SUBSTITUTE(SUBSTITUTE(A10,LEFT(A10,MIN(FIND({"省","市","区"},A10&amp;"省市区"))),""),LEFT(SUBSTITUTE(A10,LEFT(A10,MIN(FIND({"省","市","区"},A10&amp;"省市区"))),""),MIN(FIND({"市","区","县"},SUBSTITUTE(A10,LEFT(A10,MIN(FIND({"省","市","区"},A10&amp;"省市区"))),"")&amp;"市区县"))),""),MIN(FIND({"市","区","县"},SUBSTITUTE(SUBSTITUTE(A10,LEFT(A10,MIN(FIND({"省","市","区"},A10&amp;"省市区"))),""),LEFT(SUBSTITUTE(A10,LEFT(A10,MIN(FIND({"省","市","区"},A10&amp;"省市区"))),""),MIN(FIND({"市","区","县"},SUBSTITUTE(A10,LEFT(A10,MIN(FIND({"省","市","区"},A10&amp;"省市区"))),"")&amp;"市区县"))),"")&amp;"市区县")))</f>
        <v>新郑市</v>
      </c>
      <c r="O10" s="4" t="e" cm="1">
        <f t="array" ref="O10">MID(A10,MAX(IFERROR(FIND({"省","市","区","县"},A10),0))+1,FIND("街道",A10)-MAX(IFERROR(FIND({"省","市","区","县"},A10),0))-1+2)</f>
        <v>#VALUE!</v>
      </c>
      <c r="Q10" s="4" t="e">
        <f t="shared" si="2"/>
        <v>#VALUE!</v>
      </c>
      <c r="S10" s="7" t="e">
        <f t="shared" si="3"/>
        <v>#VALUE!</v>
      </c>
    </row>
    <row r="11" ht="24" spans="1:19">
      <c r="A11" s="2" t="s">
        <v>8</v>
      </c>
      <c r="B11" s="6"/>
      <c r="C11" s="6"/>
      <c r="D11" s="6"/>
      <c r="J11" t="str" cm="1">
        <f t="array" ref="J11">LEFT(A11,MIN(FIND({"省","市","区"},A11&amp;"省市区")))</f>
        <v>河南省</v>
      </c>
      <c r="K11" t="str" cm="1">
        <f t="array" ref="K11">LEFT(SUBSTITUTE(A11,LEFT(A11,MIN(FIND({"省","市","区"},A11&amp;"省市区"))),""),MIN(FIND({"市","区","县"},SUBSTITUTE(A11,LEFT(A11,MIN(FIND({"省","市","区"},A11&amp;"省市区"))),"")&amp;"市区县")))</f>
        <v>郑州市</v>
      </c>
      <c r="L11" t="str" cm="1">
        <f t="array" ref="L11">LEFT(SUBSTITUTE(SUBSTITUTE(A11,LEFT(A11,MIN(FIND({"省","市","区"},A11&amp;"省市区"))),""),LEFT(SUBSTITUTE(A11,LEFT(A11,MIN(FIND({"省","市","区"},A11&amp;"省市区"))),""),MIN(FIND({"市","区","县"},SUBSTITUTE(A11,LEFT(A11,MIN(FIND({"省","市","区"},A11&amp;"省市区"))),"")&amp;"市区县"))),""),MIN(FIND({"市","区","县"},SUBSTITUTE(SUBSTITUTE(A11,LEFT(A11,MIN(FIND({"省","市","区"},A11&amp;"省市区"))),""),LEFT(SUBSTITUTE(A11,LEFT(A11,MIN(FIND({"省","市","区"},A11&amp;"省市区"))),""),MIN(FIND({"市","区","县"},SUBSTITUTE(A11,LEFT(A11,MIN(FIND({"省","市","区"},A11&amp;"省市区"))),"")&amp;"市区县"))),"")&amp;"市区县")))</f>
        <v>新郑市</v>
      </c>
      <c r="O11" s="4" t="e" cm="1">
        <f t="array" ref="O11">MID(A11,MAX(IFERROR(FIND({"省","市","区","县"},A11),0))+1,FIND("街道",A11)-MAX(IFERROR(FIND({"省","市","区","县"},A11),0))-1+2)</f>
        <v>#VALUE!</v>
      </c>
      <c r="Q11" s="4" t="e">
        <f t="shared" si="2"/>
        <v>#VALUE!</v>
      </c>
      <c r="S11" s="7" t="e">
        <f t="shared" si="3"/>
        <v>#VALUE!</v>
      </c>
    </row>
    <row r="12" ht="24" spans="1:19">
      <c r="A12" s="2" t="s">
        <v>10</v>
      </c>
      <c r="B12" s="6"/>
      <c r="C12" s="6"/>
      <c r="D12" s="6"/>
      <c r="J12" t="str" cm="1">
        <f t="array" ref="J12">LEFT(A12,MIN(FIND({"省","市","区"},A12&amp;"省市区")))</f>
        <v>河南省</v>
      </c>
      <c r="K12" t="str" cm="1">
        <f t="array" ref="K12">LEFT(SUBSTITUTE(A12,LEFT(A12,MIN(FIND({"省","市","区"},A12&amp;"省市区"))),""),MIN(FIND({"市","区","县"},SUBSTITUTE(A12,LEFT(A12,MIN(FIND({"省","市","区"},A12&amp;"省市区"))),"")&amp;"市区县")))</f>
        <v>郑州市</v>
      </c>
      <c r="L12" t="str" cm="1">
        <f t="array" ref="L12">LEFT(SUBSTITUTE(SUBSTITUTE(A12,LEFT(A12,MIN(FIND({"省","市","区"},A12&amp;"省市区"))),""),LEFT(SUBSTITUTE(A12,LEFT(A12,MIN(FIND({"省","市","区"},A12&amp;"省市区"))),""),MIN(FIND({"市","区","县"},SUBSTITUTE(A12,LEFT(A12,MIN(FIND({"省","市","区"},A12&amp;"省市区"))),"")&amp;"市区县"))),""),MIN(FIND({"市","区","县"},SUBSTITUTE(SUBSTITUTE(A12,LEFT(A12,MIN(FIND({"省","市","区"},A12&amp;"省市区"))),""),LEFT(SUBSTITUTE(A12,LEFT(A12,MIN(FIND({"省","市","区"},A12&amp;"省市区"))),""),MIN(FIND({"市","区","县"},SUBSTITUTE(A12,LEFT(A12,MIN(FIND({"省","市","区"},A12&amp;"省市区"))),"")&amp;"市区县"))),"")&amp;"市区县")))</f>
        <v>新郑市</v>
      </c>
      <c r="O12" s="4" t="e" cm="1">
        <f t="array" ref="O12">MID(A12,MAX(IFERROR(FIND({"省","市","区","县"},A12),0))+1,FIND("街道",A12)-MAX(IFERROR(FIND({"省","市","区","县"},A12),0))-1+2)</f>
        <v>#VALUE!</v>
      </c>
      <c r="Q12" s="4" t="e">
        <f t="shared" si="2"/>
        <v>#VALUE!</v>
      </c>
      <c r="S12" s="7" t="e">
        <f t="shared" si="3"/>
        <v>#VALUE!</v>
      </c>
    </row>
    <row r="13" ht="24" spans="1:19">
      <c r="A13" s="2" t="s">
        <v>10</v>
      </c>
      <c r="B13" s="6"/>
      <c r="C13" s="6"/>
      <c r="D13" s="6"/>
      <c r="J13" t="str" cm="1">
        <f t="array" ref="J13">LEFT(A13,MIN(FIND({"省","市","区"},A13&amp;"省市区")))</f>
        <v>河南省</v>
      </c>
      <c r="K13" t="str" cm="1">
        <f t="array" ref="K13">LEFT(SUBSTITUTE(A13,LEFT(A13,MIN(FIND({"省","市","区"},A13&amp;"省市区"))),""),MIN(FIND({"市","区","县"},SUBSTITUTE(A13,LEFT(A13,MIN(FIND({"省","市","区"},A13&amp;"省市区"))),"")&amp;"市区县")))</f>
        <v>郑州市</v>
      </c>
      <c r="L13" t="str" cm="1">
        <f t="array" ref="L13">LEFT(SUBSTITUTE(SUBSTITUTE(A13,LEFT(A13,MIN(FIND({"省","市","区"},A13&amp;"省市区"))),""),LEFT(SUBSTITUTE(A13,LEFT(A13,MIN(FIND({"省","市","区"},A13&amp;"省市区"))),""),MIN(FIND({"市","区","县"},SUBSTITUTE(A13,LEFT(A13,MIN(FIND({"省","市","区"},A13&amp;"省市区"))),"")&amp;"市区县"))),""),MIN(FIND({"市","区","县"},SUBSTITUTE(SUBSTITUTE(A13,LEFT(A13,MIN(FIND({"省","市","区"},A13&amp;"省市区"))),""),LEFT(SUBSTITUTE(A13,LEFT(A13,MIN(FIND({"省","市","区"},A13&amp;"省市区"))),""),MIN(FIND({"市","区","县"},SUBSTITUTE(A13,LEFT(A13,MIN(FIND({"省","市","区"},A13&amp;"省市区"))),"")&amp;"市区县"))),"")&amp;"市区县")))</f>
        <v>新郑市</v>
      </c>
      <c r="O13" s="4" t="e" cm="1">
        <f t="array" ref="O13">MID(A13,MAX(IFERROR(FIND({"省","市","区","县"},A13),0))+1,FIND("街道",A13)-MAX(IFERROR(FIND({"省","市","区","县"},A13),0))-1+2)</f>
        <v>#VALUE!</v>
      </c>
      <c r="Q13" s="4" t="e">
        <f t="shared" si="2"/>
        <v>#VALUE!</v>
      </c>
      <c r="S13" s="7" t="e">
        <f t="shared" si="3"/>
        <v>#VALUE!</v>
      </c>
    </row>
    <row r="14" ht="24" spans="1:19">
      <c r="A14" s="2" t="s">
        <v>8</v>
      </c>
      <c r="B14" s="6"/>
      <c r="C14" s="6"/>
      <c r="D14" s="6"/>
      <c r="J14" t="str" cm="1">
        <f t="array" ref="J14">LEFT(A14,MIN(FIND({"省","市","区"},A14&amp;"省市区")))</f>
        <v>河南省</v>
      </c>
      <c r="K14" t="str" cm="1">
        <f t="array" ref="K14">LEFT(SUBSTITUTE(A14,LEFT(A14,MIN(FIND({"省","市","区"},A14&amp;"省市区"))),""),MIN(FIND({"市","区","县"},SUBSTITUTE(A14,LEFT(A14,MIN(FIND({"省","市","区"},A14&amp;"省市区"))),"")&amp;"市区县")))</f>
        <v>郑州市</v>
      </c>
      <c r="L14" t="str" cm="1">
        <f t="array" ref="L14">LEFT(SUBSTITUTE(SUBSTITUTE(A14,LEFT(A14,MIN(FIND({"省","市","区"},A14&amp;"省市区"))),""),LEFT(SUBSTITUTE(A14,LEFT(A14,MIN(FIND({"省","市","区"},A14&amp;"省市区"))),""),MIN(FIND({"市","区","县"},SUBSTITUTE(A14,LEFT(A14,MIN(FIND({"省","市","区"},A14&amp;"省市区"))),"")&amp;"市区县"))),""),MIN(FIND({"市","区","县"},SUBSTITUTE(SUBSTITUTE(A14,LEFT(A14,MIN(FIND({"省","市","区"},A14&amp;"省市区"))),""),LEFT(SUBSTITUTE(A14,LEFT(A14,MIN(FIND({"省","市","区"},A14&amp;"省市区"))),""),MIN(FIND({"市","区","县"},SUBSTITUTE(A14,LEFT(A14,MIN(FIND({"省","市","区"},A14&amp;"省市区"))),"")&amp;"市区县"))),"")&amp;"市区县")))</f>
        <v>新郑市</v>
      </c>
      <c r="O14" s="4" t="e" cm="1">
        <f t="array" ref="O14">MID(A14,MAX(IFERROR(FIND({"省","市","区","县"},A14),0))+1,FIND("街道",A14)-MAX(IFERROR(FIND({"省","市","区","县"},A14),0))-1+2)</f>
        <v>#VALUE!</v>
      </c>
      <c r="Q14" s="4" t="e">
        <f t="shared" si="2"/>
        <v>#VALUE!</v>
      </c>
      <c r="S14" s="7" t="e">
        <f t="shared" si="3"/>
        <v>#VALUE!</v>
      </c>
    </row>
    <row r="15" ht="36" spans="1:19">
      <c r="A15" s="2" t="s">
        <v>11</v>
      </c>
      <c r="B15" s="6"/>
      <c r="C15" s="6"/>
      <c r="D15" s="6"/>
      <c r="J15" t="str" cm="1">
        <f t="array" ref="J15">LEFT(A15,MIN(FIND({"省","市","区"},A15&amp;"省市区")))</f>
        <v>湖北省</v>
      </c>
      <c r="K15" t="str" cm="1">
        <f t="array" ref="K15">LEFT(SUBSTITUTE(A15,LEFT(A15,MIN(FIND({"省","市","区"},A15&amp;"省市区"))),""),MIN(FIND({"市","区","县"},SUBSTITUTE(A15,LEFT(A15,MIN(FIND({"省","市","区"},A15&amp;"省市区"))),"")&amp;"市区县")))</f>
        <v>武汉市</v>
      </c>
      <c r="L15" t="str" cm="1">
        <f t="array" ref="L15">LEFT(SUBSTITUTE(SUBSTITUTE(A15,LEFT(A15,MIN(FIND({"省","市","区"},A15&amp;"省市区"))),""),LEFT(SUBSTITUTE(A15,LEFT(A15,MIN(FIND({"省","市","区"},A15&amp;"省市区"))),""),MIN(FIND({"市","区","县"},SUBSTITUTE(A15,LEFT(A15,MIN(FIND({"省","市","区"},A15&amp;"省市区"))),"")&amp;"市区县"))),""),MIN(FIND({"市","区","县"},SUBSTITUTE(SUBSTITUTE(A15,LEFT(A15,MIN(FIND({"省","市","区"},A15&amp;"省市区"))),""),LEFT(SUBSTITUTE(A15,LEFT(A15,MIN(FIND({"省","市","区"},A15&amp;"省市区"))),""),MIN(FIND({"市","区","县"},SUBSTITUTE(A15,LEFT(A15,MIN(FIND({"省","市","区"},A15&amp;"省市区"))),"")&amp;"市区县"))),"")&amp;"市区县")))</f>
        <v>汉阳区</v>
      </c>
      <c r="O15" s="4" t="str" cm="1">
        <f t="array" ref="O15">MID(A15,MAX(IFERROR(FIND({"省","市","区","县"},A15),0))+1,FIND("街道",A15)-MAX(IFERROR(FIND({"省","市","区","县"},A15),0))-1+2)</f>
        <v>洲头街道</v>
      </c>
      <c r="Q15" s="4" t="str">
        <f t="shared" si="2"/>
        <v>洲头街道</v>
      </c>
      <c r="S15" s="7" t="str">
        <f t="shared" si="3"/>
        <v>洲头街道</v>
      </c>
    </row>
    <row r="16" ht="36" spans="1:19">
      <c r="A16" s="2" t="s">
        <v>12</v>
      </c>
      <c r="B16" s="6"/>
      <c r="C16" s="6"/>
      <c r="D16" s="6"/>
      <c r="J16" t="str" cm="1">
        <f t="array" ref="J16">LEFT(A16,MIN(FIND({"省","市","区"},A16&amp;"省市区")))</f>
        <v>湖北省</v>
      </c>
      <c r="K16" t="str" cm="1">
        <f t="array" ref="K16">LEFT(SUBSTITUTE(A16,LEFT(A16,MIN(FIND({"省","市","区"},A16&amp;"省市区"))),""),MIN(FIND({"市","区","县"},SUBSTITUTE(A16,LEFT(A16,MIN(FIND({"省","市","区"},A16&amp;"省市区"))),"")&amp;"市区县")))</f>
        <v>武汉市</v>
      </c>
      <c r="L16" t="str" cm="1">
        <f t="array" ref="L16">LEFT(SUBSTITUTE(SUBSTITUTE(A16,LEFT(A16,MIN(FIND({"省","市","区"},A16&amp;"省市区"))),""),LEFT(SUBSTITUTE(A16,LEFT(A16,MIN(FIND({"省","市","区"},A16&amp;"省市区"))),""),MIN(FIND({"市","区","县"},SUBSTITUTE(A16,LEFT(A16,MIN(FIND({"省","市","区"},A16&amp;"省市区"))),"")&amp;"市区县"))),""),MIN(FIND({"市","区","县"},SUBSTITUTE(SUBSTITUTE(A16,LEFT(A16,MIN(FIND({"省","市","区"},A16&amp;"省市区"))),""),LEFT(SUBSTITUTE(A16,LEFT(A16,MIN(FIND({"省","市","区"},A16&amp;"省市区"))),""),MIN(FIND({"市","区","县"},SUBSTITUTE(A16,LEFT(A16,MIN(FIND({"省","市","区"},A16&amp;"省市区"))),"")&amp;"市区县"))),"")&amp;"市区县")))</f>
        <v>汉阳区</v>
      </c>
      <c r="O16" s="4" t="str" cm="1">
        <f t="array" ref="O16">MID(A16,MAX(IFERROR(FIND({"省","市","区","县"},A16),0))+1,FIND("街道",A16)-MAX(IFERROR(FIND({"省","市","区","县"},A16),0))-1+2)</f>
        <v>洲头街道</v>
      </c>
      <c r="Q16" s="4" t="str">
        <f t="shared" si="2"/>
        <v>洲头街道</v>
      </c>
      <c r="S16" s="7" t="str">
        <f t="shared" si="3"/>
        <v>洲头街道</v>
      </c>
    </row>
    <row r="17" ht="24" spans="1:19">
      <c r="A17" s="2" t="s">
        <v>13</v>
      </c>
      <c r="B17" s="6"/>
      <c r="C17" s="6"/>
      <c r="D17" s="6"/>
      <c r="J17" t="str" cm="1">
        <f t="array" ref="J17">LEFT(A17,MIN(FIND({"省","市","区"},A17&amp;"省市区")))</f>
        <v>湖北省</v>
      </c>
      <c r="K17" t="str" cm="1">
        <f t="array" ref="K17">LEFT(SUBSTITUTE(A17,LEFT(A17,MIN(FIND({"省","市","区"},A17&amp;"省市区"))),""),MIN(FIND({"市","区","县"},SUBSTITUTE(A17,LEFT(A17,MIN(FIND({"省","市","区"},A17&amp;"省市区"))),"")&amp;"市区县")))</f>
        <v>武汉市</v>
      </c>
      <c r="L17" t="str" cm="1">
        <f t="array" ref="L17">LEFT(SUBSTITUTE(SUBSTITUTE(A17,LEFT(A17,MIN(FIND({"省","市","区"},A17&amp;"省市区"))),""),LEFT(SUBSTITUTE(A17,LEFT(A17,MIN(FIND({"省","市","区"},A17&amp;"省市区"))),""),MIN(FIND({"市","区","县"},SUBSTITUTE(A17,LEFT(A17,MIN(FIND({"省","市","区"},A17&amp;"省市区"))),"")&amp;"市区县"))),""),MIN(FIND({"市","区","县"},SUBSTITUTE(SUBSTITUTE(A17,LEFT(A17,MIN(FIND({"省","市","区"},A17&amp;"省市区"))),""),LEFT(SUBSTITUTE(A17,LEFT(A17,MIN(FIND({"省","市","区"},A17&amp;"省市区"))),""),MIN(FIND({"市","区","县"},SUBSTITUTE(A17,LEFT(A17,MIN(FIND({"省","市","区"},A17&amp;"省市区"))),"")&amp;"市区县"))),"")&amp;"市区县")))</f>
        <v>洪山区</v>
      </c>
      <c r="O17" s="4" t="str" cm="1">
        <f t="array" ref="O17">MID(A17,MAX(IFERROR(FIND({"省","市","区","县"},A17),0))+1,FIND("街道",A17)-MAX(IFERROR(FIND({"省","市","区","县"},A17),0))-1+2)</f>
        <v>和平街道</v>
      </c>
      <c r="Q17" s="4" t="str">
        <f t="shared" si="2"/>
        <v>和平街道</v>
      </c>
      <c r="S17" s="7" t="str">
        <f t="shared" si="3"/>
        <v>和平街道</v>
      </c>
    </row>
    <row r="18" ht="24" spans="1:19">
      <c r="A18" s="2" t="s">
        <v>8</v>
      </c>
      <c r="B18" s="6"/>
      <c r="C18" s="6"/>
      <c r="D18" s="6"/>
      <c r="J18" t="str" cm="1">
        <f t="array" ref="J18">LEFT(A18,MIN(FIND({"省","市","区"},A18&amp;"省市区")))</f>
        <v>河南省</v>
      </c>
      <c r="K18" t="str" cm="1">
        <f t="array" ref="K18">LEFT(SUBSTITUTE(A18,LEFT(A18,MIN(FIND({"省","市","区"},A18&amp;"省市区"))),""),MIN(FIND({"市","区","县"},SUBSTITUTE(A18,LEFT(A18,MIN(FIND({"省","市","区"},A18&amp;"省市区"))),"")&amp;"市区县")))</f>
        <v>郑州市</v>
      </c>
      <c r="L18" t="str" cm="1">
        <f t="array" ref="L18">LEFT(SUBSTITUTE(SUBSTITUTE(A18,LEFT(A18,MIN(FIND({"省","市","区"},A18&amp;"省市区"))),""),LEFT(SUBSTITUTE(A18,LEFT(A18,MIN(FIND({"省","市","区"},A18&amp;"省市区"))),""),MIN(FIND({"市","区","县"},SUBSTITUTE(A18,LEFT(A18,MIN(FIND({"省","市","区"},A18&amp;"省市区"))),"")&amp;"市区县"))),""),MIN(FIND({"市","区","县"},SUBSTITUTE(SUBSTITUTE(A18,LEFT(A18,MIN(FIND({"省","市","区"},A18&amp;"省市区"))),""),LEFT(SUBSTITUTE(A18,LEFT(A18,MIN(FIND({"省","市","区"},A18&amp;"省市区"))),""),MIN(FIND({"市","区","县"},SUBSTITUTE(A18,LEFT(A18,MIN(FIND({"省","市","区"},A18&amp;"省市区"))),"")&amp;"市区县"))),"")&amp;"市区县")))</f>
        <v>新郑市</v>
      </c>
      <c r="O18" s="4" t="e" cm="1">
        <f t="array" ref="O18">MID(A18,MAX(IFERROR(FIND({"省","市","区","县"},A18),0))+1,FIND("街道",A18)-MAX(IFERROR(FIND({"省","市","区","县"},A18),0))-1+2)</f>
        <v>#VALUE!</v>
      </c>
      <c r="Q18" s="4" t="e">
        <f t="shared" si="2"/>
        <v>#VALUE!</v>
      </c>
      <c r="S18" s="7" t="e">
        <f t="shared" si="3"/>
        <v>#VALUE!</v>
      </c>
    </row>
    <row r="19" ht="24" spans="1:19">
      <c r="A19" s="2" t="s">
        <v>8</v>
      </c>
      <c r="B19" s="6"/>
      <c r="C19" s="6"/>
      <c r="D19" s="6"/>
      <c r="J19" t="str" cm="1">
        <f t="array" ref="J19">LEFT(A19,MIN(FIND({"省","市","区"},A19&amp;"省市区")))</f>
        <v>河南省</v>
      </c>
      <c r="K19" t="str" cm="1">
        <f t="array" ref="K19">LEFT(SUBSTITUTE(A19,LEFT(A19,MIN(FIND({"省","市","区"},A19&amp;"省市区"))),""),MIN(FIND({"市","区","县"},SUBSTITUTE(A19,LEFT(A19,MIN(FIND({"省","市","区"},A19&amp;"省市区"))),"")&amp;"市区县")))</f>
        <v>郑州市</v>
      </c>
      <c r="L19" t="str" cm="1">
        <f t="array" ref="L19">LEFT(SUBSTITUTE(SUBSTITUTE(A19,LEFT(A19,MIN(FIND({"省","市","区"},A19&amp;"省市区"))),""),LEFT(SUBSTITUTE(A19,LEFT(A19,MIN(FIND({"省","市","区"},A19&amp;"省市区"))),""),MIN(FIND({"市","区","县"},SUBSTITUTE(A19,LEFT(A19,MIN(FIND({"省","市","区"},A19&amp;"省市区"))),"")&amp;"市区县"))),""),MIN(FIND({"市","区","县"},SUBSTITUTE(SUBSTITUTE(A19,LEFT(A19,MIN(FIND({"省","市","区"},A19&amp;"省市区"))),""),LEFT(SUBSTITUTE(A19,LEFT(A19,MIN(FIND({"省","市","区"},A19&amp;"省市区"))),""),MIN(FIND({"市","区","县"},SUBSTITUTE(A19,LEFT(A19,MIN(FIND({"省","市","区"},A19&amp;"省市区"))),"")&amp;"市区县"))),"")&amp;"市区县")))</f>
        <v>新郑市</v>
      </c>
      <c r="O19" s="4" t="e" cm="1">
        <f t="array" ref="O19">MID(A19,MAX(IFERROR(FIND({"省","市","区","县"},A19),0))+1,FIND("街道",A19)-MAX(IFERROR(FIND({"省","市","区","县"},A19),0))-1+2)</f>
        <v>#VALUE!</v>
      </c>
      <c r="Q19" s="4" t="e">
        <f t="shared" si="2"/>
        <v>#VALUE!</v>
      </c>
      <c r="S19" s="7" t="e">
        <f t="shared" si="3"/>
        <v>#VALUE!</v>
      </c>
    </row>
    <row r="20" ht="28.8" spans="1:19">
      <c r="A20" s="2" t="s">
        <v>14</v>
      </c>
      <c r="B20" s="6"/>
      <c r="C20" s="6"/>
      <c r="D20" s="6"/>
      <c r="J20" t="str" cm="1">
        <f t="array" ref="J20">LEFT(A20,MIN(FIND({"省","市","区"},A20&amp;"省市区")))</f>
        <v>河南省</v>
      </c>
      <c r="K20" t="str" cm="1">
        <f t="array" ref="K20">LEFT(SUBSTITUTE(A20,LEFT(A20,MIN(FIND({"省","市","区"},A20&amp;"省市区"))),""),MIN(FIND({"市","区","县"},SUBSTITUTE(A20,LEFT(A20,MIN(FIND({"省","市","区"},A20&amp;"省市区"))),"")&amp;"市区县")))</f>
        <v>郑州市</v>
      </c>
      <c r="L20" t="str" cm="1">
        <f t="array" ref="L20">LEFT(SUBSTITUTE(SUBSTITUTE(A20,LEFT(A20,MIN(FIND({"省","市","区"},A20&amp;"省市区"))),""),LEFT(SUBSTITUTE(A20,LEFT(A20,MIN(FIND({"省","市","区"},A20&amp;"省市区"))),""),MIN(FIND({"市","区","县"},SUBSTITUTE(A20,LEFT(A20,MIN(FIND({"省","市","区"},A20&amp;"省市区"))),"")&amp;"市区县"))),""),MIN(FIND({"市","区","县"},SUBSTITUTE(SUBSTITUTE(A20,LEFT(A20,MIN(FIND({"省","市","区"},A20&amp;"省市区"))),""),LEFT(SUBSTITUTE(A20,LEFT(A20,MIN(FIND({"省","市","区"},A20&amp;"省市区"))),""),MIN(FIND({"市","区","县"},SUBSTITUTE(A20,LEFT(A20,MIN(FIND({"省","市","区"},A20&amp;"省市区"))),"")&amp;"市区县"))),"")&amp;"市区县")))</f>
        <v>二七区</v>
      </c>
      <c r="O20" s="4" t="str" cm="1">
        <f t="array" ref="O20">MID(A20,MAX(IFERROR(FIND({"省","市","区","县"},A20),0))+1,FIND("街道",A20)-MAX(IFERROR(FIND({"省","市","区","县"},A20),0))-1+2)</f>
        <v>一马路街道</v>
      </c>
      <c r="Q20" s="4" t="str">
        <f t="shared" si="2"/>
        <v>一马路街道</v>
      </c>
      <c r="S20" s="7" t="str">
        <f t="shared" si="3"/>
        <v>一马路街道</v>
      </c>
    </row>
    <row r="21" ht="24" spans="1:19">
      <c r="A21" s="2" t="s">
        <v>15</v>
      </c>
      <c r="B21" s="6"/>
      <c r="C21" s="6"/>
      <c r="D21" s="6"/>
      <c r="J21" t="str" cm="1">
        <f t="array" ref="J21">LEFT(A21,MIN(FIND({"省","市","区"},A21&amp;"省市区")))</f>
        <v>重庆市</v>
      </c>
      <c r="K21" t="str" cm="1">
        <f t="array" ref="K21">LEFT(SUBSTITUTE(A21,LEFT(A21,MIN(FIND({"省","市","区"},A21&amp;"省市区"))),""),MIN(FIND({"市","区","县"},SUBSTITUTE(A21,LEFT(A21,MIN(FIND({"省","市","区"},A21&amp;"省市区"))),"")&amp;"市区县")))</f>
        <v>九龙坡区</v>
      </c>
      <c r="L21" t="str" cm="1">
        <f t="array" ref="L21">LEFT(SUBSTITUTE(SUBSTITUTE(A21,LEFT(A21,MIN(FIND({"省","市","区"},A21&amp;"省市区"))),""),LEFT(SUBSTITUTE(A21,LEFT(A21,MIN(FIND({"省","市","区"},A21&amp;"省市区"))),""),MIN(FIND({"市","区","县"},SUBSTITUTE(A21,LEFT(A21,MIN(FIND({"省","市","区"},A21&amp;"省市区"))),"")&amp;"市区县"))),""),MIN(FIND({"市","区","县"},SUBSTITUTE(SUBSTITUTE(A21,LEFT(A21,MIN(FIND({"省","市","区"},A21&amp;"省市区"))),""),LEFT(SUBSTITUTE(A21,LEFT(A21,MIN(FIND({"省","市","区"},A21&amp;"省市区"))),""),MIN(FIND({"市","区","县"},SUBSTITUTE(A21,LEFT(A21,MIN(FIND({"省","市","区"},A21&amp;"省市区"))),"")&amp;"市区县"))),"")&amp;"市区县")))</f>
        <v>蟠龙大道68号</v>
      </c>
      <c r="O21" s="4" t="e" cm="1">
        <f t="array" ref="O21">MID(A21,MAX(IFERROR(FIND({"省","市","区","县"},A21),0))+1,FIND("街道",A21)-MAX(IFERROR(FIND({"省","市","区","县"},A21),0))-1+2)</f>
        <v>#VALUE!</v>
      </c>
      <c r="Q21" s="4" t="e">
        <f t="shared" si="2"/>
        <v>#VALUE!</v>
      </c>
      <c r="S21" s="7" t="e">
        <f t="shared" si="3"/>
        <v>#VALUE!</v>
      </c>
    </row>
    <row r="22" ht="24" spans="1:19">
      <c r="A22" s="2" t="s">
        <v>16</v>
      </c>
      <c r="B22" s="6"/>
      <c r="C22" s="6"/>
      <c r="D22" s="6"/>
      <c r="J22" t="str" cm="1">
        <f t="array" ref="J22">LEFT(A22,MIN(FIND({"省","市","区"},A22&amp;"省市区")))</f>
        <v>重庆市</v>
      </c>
      <c r="K22" t="str" cm="1">
        <f t="array" ref="K22">LEFT(SUBSTITUTE(A22,LEFT(A22,MIN(FIND({"省","市","区"},A22&amp;"省市区"))),""),MIN(FIND({"市","区","县"},SUBSTITUTE(A22,LEFT(A22,MIN(FIND({"省","市","区"},A22&amp;"省市区"))),"")&amp;"市区县")))</f>
        <v>江北区</v>
      </c>
      <c r="L22" t="str" cm="1">
        <f t="array" ref="L22">LEFT(SUBSTITUTE(SUBSTITUTE(A22,LEFT(A22,MIN(FIND({"省","市","区"},A22&amp;"省市区"))),""),LEFT(SUBSTITUTE(A22,LEFT(A22,MIN(FIND({"省","市","区"},A22&amp;"省市区"))),""),MIN(FIND({"市","区","县"},SUBSTITUTE(A22,LEFT(A22,MIN(FIND({"省","市","区"},A22&amp;"省市区"))),"")&amp;"市区县"))),""),MIN(FIND({"市","区","县"},SUBSTITUTE(SUBSTITUTE(A22,LEFT(A22,MIN(FIND({"省","市","区"},A22&amp;"省市区"))),""),LEFT(SUBSTITUTE(A22,LEFT(A22,MIN(FIND({"省","市","区"},A22&amp;"省市区"))),""),MIN(FIND({"市","区","县"},SUBSTITUTE(A22,LEFT(A22,MIN(FIND({"省","市","区"},A22&amp;"省市区"))),"")&amp;"市区县"))),"")&amp;"市区县")))</f>
        <v>寸滩街道港城工业园区</v>
      </c>
      <c r="O22" s="4" t="str" cm="1">
        <f t="array" ref="O22">MID(A22,MAX(IFERROR(FIND({"省","市","区","县"},A22),0))+1,FIND("街道",A22)-MAX(IFERROR(FIND({"省","市","区","县"},A22),0))-1+2)</f>
        <v>寸滩街道</v>
      </c>
      <c r="Q22" s="4" t="str">
        <f t="shared" si="2"/>
        <v>寸滩街道</v>
      </c>
      <c r="S22" s="7" t="str">
        <f t="shared" si="3"/>
        <v>寸滩街道</v>
      </c>
    </row>
    <row r="23" spans="1:19">
      <c r="A23" t="s">
        <v>17</v>
      </c>
      <c r="J23" t="str" cm="1">
        <f t="array" ref="J23">LEFT(A23,MIN(FIND({"省","市","区"},A23&amp;"省市区")))</f>
        <v>重庆市</v>
      </c>
      <c r="K23" t="str" cm="1">
        <f t="array" ref="K23">LEFT(SUBSTITUTE(A23,LEFT(A23,MIN(FIND({"省","市","区"},A23&amp;"省市区"))),""),MIN(FIND({"市","区","县"},SUBSTITUTE(A23,LEFT(A23,MIN(FIND({"省","市","区"},A23&amp;"省市区"))),"")&amp;"市区县")))</f>
        <v>寸滩街道港城工业园区</v>
      </c>
      <c r="O23" s="4" t="e" cm="1">
        <f t="array" ref="O23">MID(A23,MAX(IFERROR(FIND({"省","市","区","县"},A23),0))+1,FIND("街道",A23)-MAX(IFERROR(FIND({"省","市","区","县"},A23),0))-1+2)</f>
        <v>#VALUE!</v>
      </c>
      <c r="Q23" s="4" t="e">
        <f t="shared" si="2"/>
        <v>#VALUE!</v>
      </c>
      <c r="S23" s="7" t="e">
        <f t="shared" si="3"/>
        <v>#VALUE!</v>
      </c>
    </row>
    <row r="24" spans="1:19">
      <c r="A24" t="s">
        <v>18</v>
      </c>
      <c r="J24" t="str" cm="1">
        <f t="array" ref="J24">LEFT(A24,MIN(FIND({"省","市","区"},A24&amp;"省市区")))</f>
        <v>福建省</v>
      </c>
      <c r="K24" t="str" cm="1">
        <f t="array" ref="K24">LEFT(SUBSTITUTE(A24,LEFT(A24,MIN(FIND({"省","市","区"},A24&amp;"省市区"))),""),MIN(FIND({"市","区","县"},SUBSTITUTE(A24,LEFT(A24,MIN(FIND({"省","市","区"},A24&amp;"省市区"))),"")&amp;"市区县")))</f>
        <v>三明市</v>
      </c>
      <c r="O24" s="4" t="str" cm="1">
        <f t="array" ref="O24">MID(A24,MAX(IFERROR(FIND({"省","市","区","县"},A24),0))+1,FIND("街道",A24)-MAX(IFERROR(FIND({"省","市","区","县"},A24),0))-1+2)</f>
        <v>虬江街道</v>
      </c>
      <c r="S24" s="7" t="str">
        <f t="shared" si="3"/>
        <v>虬江街道</v>
      </c>
    </row>
  </sheetData>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1023"/>
  <sheetViews>
    <sheetView tabSelected="1" workbookViewId="0">
      <selection activeCell="T10" sqref="T10"/>
    </sheetView>
  </sheetViews>
  <sheetFormatPr defaultColWidth="9" defaultRowHeight="14.4"/>
  <cols>
    <col min="1" max="1" width="21.3333333333333" customWidth="1"/>
  </cols>
  <sheetData>
    <row r="1" spans="1:21">
      <c r="A1" s="1" t="s">
        <v>19</v>
      </c>
      <c r="S1" t="s">
        <v>20</v>
      </c>
      <c r="U1" t="s">
        <v>21</v>
      </c>
    </row>
    <row r="2" ht="48" spans="1:24">
      <c r="A2" s="2" t="s">
        <v>22</v>
      </c>
      <c r="C2" t="s">
        <v>23</v>
      </c>
      <c r="Q2" s="4" t="str" cm="1">
        <f t="array" ref="Q2">_xlfn.LET(_xlpm.fullText,A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江南区沙井街道</v>
      </c>
      <c r="S2" cm="1">
        <f t="array" ref="S2">MAX(IFERROR(FIND({"省","市","区","县"},LEFT(A2,FIND("街道",A2)+2-1)),0),MAX(IFERROR(FIND("市",LEFT(A2,FIND("街道",A2)+2-1),_xlfn.SEQUENCE(LEN(LEFT(A2,FIND("街道",A2)+2-1)))),0)))</f>
        <v>10</v>
      </c>
      <c r="T2" s="4"/>
      <c r="U2" t="e" cm="1">
        <f t="array" ref="U2:X2">FIND({"省","市","区","县"},LEFT(A2,FIND("街道",A2)+2-1))</f>
        <v>#VALUE!</v>
      </c>
      <c r="V2">
        <v>10</v>
      </c>
      <c r="W2">
        <v>7</v>
      </c>
      <c r="X2" t="e">
        <v>#VALUE!</v>
      </c>
    </row>
    <row r="3" spans="1:17">
      <c r="A3" s="3" t="s">
        <v>24</v>
      </c>
      <c r="K3" s="4" t="str" cm="1">
        <f t="array" ref="K3">MID(A3,MAX(IFERROR(FIND({"省","市","区","县"},A3),0))+1,FIND("街道",A3)-MAX(IFERROR(FIND({"省","市","区","县"},A3),0))-1+2)</f>
        <v>城东街道</v>
      </c>
      <c r="M3" s="4" t="str" cm="1">
        <f t="array" ref="M3">MID(A3,MAX(IFERROR(FIND({"省"},A3),0),IFERROR(FIND({"市"},A3),0),IFERROR(FIND({"区"},A3),0),IFERROR(FIND({"县"},A3),0))+1,FIND("街道",A3)-MAX(IFERROR(FIND({"省"},A3),0),IFERROR(FIND({"市"},A3),0),IFERROR(FIND({"区"},A3),0),IFERROR(FIND({"县"},A3),0))-1+2)</f>
        <v>城东街道</v>
      </c>
      <c r="O3" s="4" t="str" cm="1">
        <f t="array" ref="O3">_xlfn.LET(_xlpm.fullText,A3,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3" s="4" t="str" cm="1">
        <f t="array" ref="Q3">_xlfn.LET(_xlpm.fullText,A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4" spans="1:17">
      <c r="A4" s="3" t="s">
        <v>25</v>
      </c>
      <c r="K4" s="4" t="str" cm="1">
        <f t="array" ref="K4">MID(A4,MAX(IFERROR(FIND({"省","市","区","县"},A4),0))+1,FIND("街道",A4)-MAX(IFERROR(FIND({"省","市","区","县"},A4),0))-1+2)</f>
        <v>东海街道</v>
      </c>
      <c r="M4" s="4" t="str" cm="1">
        <f t="array" ref="M4">MID(A4,MAX(IFERROR(FIND({"省"},A4),0),IFERROR(FIND({"市"},A4),0),IFERROR(FIND({"区"},A4),0),IFERROR(FIND({"县"},A4),0))+1,FIND("街道",A4)-MAX(IFERROR(FIND({"省"},A4),0),IFERROR(FIND({"市"},A4),0),IFERROR(FIND({"区"},A4),0),IFERROR(FIND({"县"},A4),0))-1+2)</f>
        <v>东海街道</v>
      </c>
      <c r="O4" s="4" t="str" cm="1">
        <f t="array" ref="O4">_xlfn.LET(_xlpm.fullText,A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 s="4" t="str" cm="1">
        <f t="array" ref="Q4">_xlfn.LET(_xlpm.fullText,A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 spans="1:17">
      <c r="A5" s="3" t="s">
        <v>25</v>
      </c>
      <c r="K5" s="4" t="str" cm="1">
        <f t="array" ref="K5">MID(A5,MAX(IFERROR(FIND({"省","市","区","县"},A5),0))+1,FIND("街道",A5)-MAX(IFERROR(FIND({"省","市","区","县"},A5),0))-1+2)</f>
        <v>东海街道</v>
      </c>
      <c r="M5" s="4" t="str" cm="1">
        <f t="array" ref="M5">MID(A5,MAX(IFERROR(FIND({"省"},A5),0),IFERROR(FIND({"市"},A5),0),IFERROR(FIND({"区"},A5),0),IFERROR(FIND({"县"},A5),0))+1,FIND("街道",A5)-MAX(IFERROR(FIND({"省"},A5),0),IFERROR(FIND({"市"},A5),0),IFERROR(FIND({"区"},A5),0),IFERROR(FIND({"县"},A5),0))-1+2)</f>
        <v>东海街道</v>
      </c>
      <c r="O5" s="4" t="str" cm="1">
        <f t="array" ref="O5">_xlfn.LET(_xlpm.fullText,A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 s="4" t="str" cm="1">
        <f t="array" ref="Q5">_xlfn.LET(_xlpm.fullText,A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 spans="1:17">
      <c r="A6" s="3" t="s">
        <v>25</v>
      </c>
      <c r="K6" s="4" t="str" cm="1">
        <f t="array" ref="K6">MID(A6,MAX(IFERROR(FIND({"省","市","区","县"},A6),0))+1,FIND("街道",A6)-MAX(IFERROR(FIND({"省","市","区","县"},A6),0))-1+2)</f>
        <v>东海街道</v>
      </c>
      <c r="M6" s="4" t="str" cm="1">
        <f t="array" ref="M6">MID(A6,MAX(IFERROR(FIND({"省"},A6),0),IFERROR(FIND({"市"},A6),0),IFERROR(FIND({"区"},A6),0),IFERROR(FIND({"县"},A6),0))+1,FIND("街道",A6)-MAX(IFERROR(FIND({"省"},A6),0),IFERROR(FIND({"市"},A6),0),IFERROR(FIND({"区"},A6),0),IFERROR(FIND({"县"},A6),0))-1+2)</f>
        <v>东海街道</v>
      </c>
      <c r="O6" s="4" t="str" cm="1">
        <f t="array" ref="O6">_xlfn.LET(_xlpm.fullText,A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 s="4" t="str" cm="1">
        <f t="array" ref="Q6">_xlfn.LET(_xlpm.fullText,A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7" spans="1:17">
      <c r="A7" s="3" t="s">
        <v>26</v>
      </c>
      <c r="K7" s="4" t="str" cm="1">
        <f t="array" ref="K7">MID(A7,MAX(IFERROR(FIND({"省","市","区","县"},A7),0))+1,FIND("街道",A7)-MAX(IFERROR(FIND({"省","市","区","县"},A7),0))-1+2)</f>
        <v>城东街道</v>
      </c>
      <c r="M7" s="4" t="str" cm="1">
        <f t="array" ref="M7">MID(A7,MAX(IFERROR(FIND({"省"},A7),0),IFERROR(FIND({"市"},A7),0),IFERROR(FIND({"区"},A7),0),IFERROR(FIND({"县"},A7),0))+1,FIND("街道",A7)-MAX(IFERROR(FIND({"省"},A7),0),IFERROR(FIND({"市"},A7),0),IFERROR(FIND({"区"},A7),0),IFERROR(FIND({"县"},A7),0))-1+2)</f>
        <v>城东街道</v>
      </c>
      <c r="O7" s="4" t="str" cm="1">
        <f t="array" ref="O7">_xlfn.LET(_xlpm.fullText,A7,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7" s="4" t="str" cm="1">
        <f t="array" ref="Q7">_xlfn.LET(_xlpm.fullText,A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8" spans="1:17">
      <c r="A8" s="3" t="s">
        <v>27</v>
      </c>
      <c r="K8" s="4" t="str" cm="1">
        <f t="array" ref="K8">MID(A8,MAX(IFERROR(FIND({"省","市","区","县"},A8),0))+1,FIND("街道",A8)-MAX(IFERROR(FIND({"省","市","区","县"},A8),0))-1+2)</f>
        <v>东海街道</v>
      </c>
      <c r="M8" s="4" t="str" cm="1">
        <f t="array" ref="M8">MID(A8,MAX(IFERROR(FIND({"省"},A8),0),IFERROR(FIND({"市"},A8),0),IFERROR(FIND({"区"},A8),0),IFERROR(FIND({"县"},A8),0))+1,FIND("街道",A8)-MAX(IFERROR(FIND({"省"},A8),0),IFERROR(FIND({"市"},A8),0),IFERROR(FIND({"区"},A8),0),IFERROR(FIND({"县"},A8),0))-1+2)</f>
        <v>东海街道</v>
      </c>
      <c r="O8" s="4" t="str" cm="1">
        <f t="array" ref="O8">_xlfn.LET(_xlpm.fullText,A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 s="4" t="str" cm="1">
        <f t="array" ref="Q8">_xlfn.LET(_xlpm.fullText,A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 spans="1:17">
      <c r="A9" s="3" t="s">
        <v>28</v>
      </c>
      <c r="K9" s="4" t="str" cm="1">
        <f t="array" ref="K9">MID(A9,MAX(IFERROR(FIND({"省","市","区","县"},A9),0))+1,FIND("街道",A9)-MAX(IFERROR(FIND({"省","市","区","县"},A9),0))-1+2)</f>
        <v>东海街道</v>
      </c>
      <c r="M9" s="4" t="str" cm="1">
        <f t="array" ref="M9">MID(A9,MAX(IFERROR(FIND({"省"},A9),0),IFERROR(FIND({"市"},A9),0),IFERROR(FIND({"区"},A9),0),IFERROR(FIND({"县"},A9),0))+1,FIND("街道",A9)-MAX(IFERROR(FIND({"省"},A9),0),IFERROR(FIND({"市"},A9),0),IFERROR(FIND({"区"},A9),0),IFERROR(FIND({"县"},A9),0))-1+2)</f>
        <v>东海街道</v>
      </c>
      <c r="O9" s="4" t="str" cm="1">
        <f t="array" ref="O9">_xlfn.LET(_xlpm.fullText,A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 s="4" t="str" cm="1">
        <f t="array" ref="Q9">_xlfn.LET(_xlpm.fullText,A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0" spans="1:17">
      <c r="A10" s="3" t="s">
        <v>27</v>
      </c>
      <c r="K10" s="4" t="str" cm="1">
        <f t="array" ref="K10">MID(A10,MAX(IFERROR(FIND({"省","市","区","县"},A10),0))+1,FIND("街道",A10)-MAX(IFERROR(FIND({"省","市","区","县"},A10),0))-1+2)</f>
        <v>东海街道</v>
      </c>
      <c r="M10" s="4" t="str" cm="1">
        <f t="array" ref="M10">MID(A10,MAX(IFERROR(FIND({"省"},A10),0),IFERROR(FIND({"市"},A10),0),IFERROR(FIND({"区"},A10),0),IFERROR(FIND({"县"},A10),0))+1,FIND("街道",A10)-MAX(IFERROR(FIND({"省"},A10),0),IFERROR(FIND({"市"},A10),0),IFERROR(FIND({"区"},A10),0),IFERROR(FIND({"县"},A10),0))-1+2)</f>
        <v>东海街道</v>
      </c>
      <c r="O10" s="4" t="str" cm="1">
        <f t="array" ref="O10">_xlfn.LET(_xlpm.fullText,A10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 s="4" t="str" cm="1">
        <f t="array" ref="Q10">_xlfn.LET(_xlpm.fullText,A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 spans="1:17">
      <c r="A11" s="3" t="s">
        <v>27</v>
      </c>
      <c r="K11" s="4" t="str" cm="1">
        <f t="array" ref="K11">MID(A11,MAX(IFERROR(FIND({"省","市","区","县"},A11),0))+1,FIND("街道",A11)-MAX(IFERROR(FIND({"省","市","区","县"},A11),0))-1+2)</f>
        <v>东海街道</v>
      </c>
      <c r="M11" s="4" t="str" cm="1">
        <f t="array" ref="M11">MID(A11,MAX(IFERROR(FIND({"省"},A11),0),IFERROR(FIND({"市"},A11),0),IFERROR(FIND({"区"},A11),0),IFERROR(FIND({"县"},A11),0))+1,FIND("街道",A11)-MAX(IFERROR(FIND({"省"},A11),0),IFERROR(FIND({"市"},A11),0),IFERROR(FIND({"区"},A11),0),IFERROR(FIND({"县"},A11),0))-1+2)</f>
        <v>东海街道</v>
      </c>
      <c r="O11" s="4" t="str" cm="1">
        <f t="array" ref="O11">_xlfn.LET(_xlpm.fullText,A11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 s="4" t="str" cm="1">
        <f t="array" ref="Q11">_xlfn.LET(_xlpm.fullText,A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 spans="1:17">
      <c r="A12" s="3" t="s">
        <v>26</v>
      </c>
      <c r="K12" s="4" t="str" cm="1">
        <f t="array" ref="K12">MID(A12,MAX(IFERROR(FIND({"省","市","区","县"},A12),0))+1,FIND("街道",A12)-MAX(IFERROR(FIND({"省","市","区","县"},A12),0))-1+2)</f>
        <v>城东街道</v>
      </c>
      <c r="M12" s="4" t="str" cm="1">
        <f t="array" ref="M12">MID(A12,MAX(IFERROR(FIND({"省"},A12),0),IFERROR(FIND({"市"},A12),0),IFERROR(FIND({"区"},A12),0),IFERROR(FIND({"县"},A12),0))+1,FIND("街道",A12)-MAX(IFERROR(FIND({"省"},A12),0),IFERROR(FIND({"市"},A12),0),IFERROR(FIND({"区"},A12),0),IFERROR(FIND({"县"},A12),0))-1+2)</f>
        <v>城东街道</v>
      </c>
      <c r="O12" s="4" t="str" cm="1">
        <f t="array" ref="O12">_xlfn.LET(_xlpm.fullText,A12,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12" s="4" t="str" cm="1">
        <f t="array" ref="Q12">_xlfn.LET(_xlpm.fullText,A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13" spans="1:17">
      <c r="A13" s="3" t="s">
        <v>28</v>
      </c>
      <c r="K13" s="4" t="str" cm="1">
        <f t="array" ref="K13">MID(A13,MAX(IFERROR(FIND({"省","市","区","县"},A13),0))+1,FIND("街道",A13)-MAX(IFERROR(FIND({"省","市","区","县"},A13),0))-1+2)</f>
        <v>东海街道</v>
      </c>
      <c r="M13" s="4" t="str" cm="1">
        <f t="array" ref="M13">MID(A13,MAX(IFERROR(FIND({"省"},A13),0),IFERROR(FIND({"市"},A13),0),IFERROR(FIND({"区"},A13),0),IFERROR(FIND({"县"},A13),0))+1,FIND("街道",A13)-MAX(IFERROR(FIND({"省"},A13),0),IFERROR(FIND({"市"},A13),0),IFERROR(FIND({"区"},A13),0),IFERROR(FIND({"县"},A13),0))-1+2)</f>
        <v>东海街道</v>
      </c>
      <c r="O13" s="4" t="str" cm="1">
        <f t="array" ref="O13">_xlfn.LET(_xlpm.fullText,A13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3" s="4" t="str" cm="1">
        <f t="array" ref="Q13">_xlfn.LET(_xlpm.fullText,A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4" spans="1:17">
      <c r="A14" s="3" t="s">
        <v>29</v>
      </c>
      <c r="K14" s="4" t="str" cm="1">
        <f t="array" ref="K14">MID(A14,MAX(IFERROR(FIND({"省","市","区","县"},A14),0))+1,FIND("街道",A14)-MAX(IFERROR(FIND({"省","市","区","县"},A14),0))-1+2)</f>
        <v>湖里街道</v>
      </c>
      <c r="M14" s="4" t="str" cm="1">
        <f t="array" ref="M14">MID(A14,MAX(IFERROR(FIND({"省"},A14),0),IFERROR(FIND({"市"},A14),0),IFERROR(FIND({"区"},A14),0),IFERROR(FIND({"县"},A14),0))+1,FIND("街道",A14)-MAX(IFERROR(FIND({"省"},A14),0),IFERROR(FIND({"市"},A14),0),IFERROR(FIND({"区"},A14),0),IFERROR(FIND({"县"},A14),0))-1+2)</f>
        <v>湖里街道</v>
      </c>
      <c r="O14" s="4" t="str" cm="1">
        <f t="array" ref="O14">_xlfn.LET(_xlpm.fullText,A14,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4" s="4" t="str" cm="1">
        <f t="array" ref="Q14">_xlfn.LET(_xlpm.fullText,A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5" spans="1:17">
      <c r="A15" s="3" t="s">
        <v>29</v>
      </c>
      <c r="K15" s="4" t="str" cm="1">
        <f t="array" ref="K15">MID(A15,MAX(IFERROR(FIND({"省","市","区","县"},A15),0))+1,FIND("街道",A15)-MAX(IFERROR(FIND({"省","市","区","县"},A15),0))-1+2)</f>
        <v>湖里街道</v>
      </c>
      <c r="M15" s="4" t="str" cm="1">
        <f t="array" ref="M15">MID(A15,MAX(IFERROR(FIND({"省"},A15),0),IFERROR(FIND({"市"},A15),0),IFERROR(FIND({"区"},A15),0),IFERROR(FIND({"县"},A15),0))+1,FIND("街道",A15)-MAX(IFERROR(FIND({"省"},A15),0),IFERROR(FIND({"市"},A15),0),IFERROR(FIND({"区"},A15),0),IFERROR(FIND({"县"},A15),0))-1+2)</f>
        <v>湖里街道</v>
      </c>
      <c r="O15" s="4" t="str" cm="1">
        <f t="array" ref="O15">_xlfn.LET(_xlpm.fullText,A15,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5" s="4" t="str" cm="1">
        <f t="array" ref="Q15">_xlfn.LET(_xlpm.fullText,A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6" spans="1:17">
      <c r="A16" s="3" t="s">
        <v>30</v>
      </c>
      <c r="K16" s="4" t="str" cm="1">
        <f t="array" ref="K16">MID(A16,MAX(IFERROR(FIND({"省","市","区","县"},A16),0))+1,FIND("街道",A16)-MAX(IFERROR(FIND({"省","市","区","县"},A16),0))-1+2)</f>
        <v>湖里街道</v>
      </c>
      <c r="M16" s="4" t="str" cm="1">
        <f t="array" ref="M16">MID(A16,MAX(IFERROR(FIND({"省"},A16),0),IFERROR(FIND({"市"},A16),0),IFERROR(FIND({"区"},A16),0),IFERROR(FIND({"县"},A16),0))+1,FIND("街道",A16)-MAX(IFERROR(FIND({"省"},A16),0),IFERROR(FIND({"市"},A16),0),IFERROR(FIND({"区"},A16),0),IFERROR(FIND({"县"},A16),0))-1+2)</f>
        <v>湖里街道</v>
      </c>
      <c r="O16" s="4" t="str" cm="1">
        <f t="array" ref="O16">_xlfn.LET(_xlpm.fullText,A16,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6" s="4" t="str" cm="1">
        <f t="array" ref="Q16">_xlfn.LET(_xlpm.fullText,A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7" spans="1:17">
      <c r="A17" s="3" t="s">
        <v>31</v>
      </c>
      <c r="K17" s="4" t="str" cm="1">
        <f t="array" ref="K17">MID(A17,MAX(IFERROR(FIND({"省","市","区","县"},A17),0))+1,FIND("街道",A17)-MAX(IFERROR(FIND({"省","市","区","县"},A17),0))-1+2)</f>
        <v>清源街道</v>
      </c>
      <c r="M17" s="4" t="str" cm="1">
        <f t="array" ref="M17">MID(A17,MAX(IFERROR(FIND({"省"},A17),0),IFERROR(FIND({"市"},A17),0),IFERROR(FIND({"区"},A17),0),IFERROR(FIND({"县"},A17),0))+1,FIND("街道",A17)-MAX(IFERROR(FIND({"省"},A17),0),IFERROR(FIND({"市"},A17),0),IFERROR(FIND({"区"},A17),0),IFERROR(FIND({"县"},A17),0))-1+2)</f>
        <v>清源街道</v>
      </c>
      <c r="O17" s="4" t="str" cm="1">
        <f t="array" ref="O17">_xlfn.LET(_xlpm.fullText,A17,_xlpm.streetPos,FIND("街道",_xlpm.fullText)+2,_xlpm.prefixText,LEFT(_xlpm.fullText,_xlpm.streetPos-1),_xlpm.adminPos,MAX(IFERROR(FIND({"省","市","区","县"},_xlpm.prefixText),0)),IF(_xlpm.adminPos&gt;0,MID(_xlpm.prefixText,_xlpm.adminPos+1,_xlpm.streetPos-_xlpm.adminPos-3+2),LEFT(_xlpm.prefixText,FIND("街道",_xlpm.prefixText)-1+2)))</f>
        <v>清源街道</v>
      </c>
      <c r="Q17" s="4" t="str" cm="1">
        <f t="array" ref="Q17">_xlfn.LET(_xlpm.fullText,A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清源街道</v>
      </c>
    </row>
    <row r="18" spans="1:17">
      <c r="A18" s="3" t="s">
        <v>28</v>
      </c>
      <c r="K18" s="4" t="str" cm="1">
        <f t="array" ref="K18">MID(A18,MAX(IFERROR(FIND({"省","市","区","县"},A18),0))+1,FIND("街道",A18)-MAX(IFERROR(FIND({"省","市","区","县"},A18),0))-1+2)</f>
        <v>东海街道</v>
      </c>
      <c r="M18" s="4" t="str" cm="1">
        <f t="array" ref="M18">MID(A18,MAX(IFERROR(FIND({"省"},A18),0),IFERROR(FIND({"市"},A18),0),IFERROR(FIND({"区"},A18),0),IFERROR(FIND({"县"},A18),0))+1,FIND("街道",A18)-MAX(IFERROR(FIND({"省"},A18),0),IFERROR(FIND({"市"},A18),0),IFERROR(FIND({"区"},A18),0),IFERROR(FIND({"县"},A18),0))-1+2)</f>
        <v>东海街道</v>
      </c>
      <c r="O18" s="4" t="str" cm="1">
        <f t="array" ref="O18">_xlfn.LET(_xlpm.fullText,A18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8" s="4" t="str" cm="1">
        <f t="array" ref="Q18">_xlfn.LET(_xlpm.fullText,A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 spans="1:17">
      <c r="A19" s="3" t="s">
        <v>32</v>
      </c>
      <c r="K19" s="4" t="str" cm="1">
        <f t="array" ref="K19">MID(A19,MAX(IFERROR(FIND({"省","市","区","县"},A19),0))+1,FIND("街道",A19)-MAX(IFERROR(FIND({"省","市","区","县"},A19),0))-1+2)</f>
        <v>泉秀街道</v>
      </c>
      <c r="M19" s="4" t="str" cm="1">
        <f t="array" ref="M19">MID(A19,MAX(IFERROR(FIND({"省"},A19),0),IFERROR(FIND({"市"},A19),0),IFERROR(FIND({"区"},A19),0),IFERROR(FIND({"县"},A19),0))+1,FIND("街道",A19)-MAX(IFERROR(FIND({"省"},A19),0),IFERROR(FIND({"市"},A19),0),IFERROR(FIND({"区"},A19),0),IFERROR(FIND({"县"},A19),0))-1+2)</f>
        <v>泉秀街道</v>
      </c>
      <c r="O19" s="4" t="str" cm="1">
        <f t="array" ref="O19">_xlfn.LET(_xlpm.fullText,A19,_xlpm.streetPos,FIND("街道",_xlpm.fullText)+2,_xlpm.prefixText,LEFT(_xlpm.fullText,_xlpm.streetPos-1),_xlpm.adminPos,MAX(IFERROR(FIND({"省","市","区","县"},_xlpm.prefixText),0)),IF(_xlpm.adminPos&gt;0,MID(_xlpm.prefixText,_xlpm.adminPos+1,_xlpm.streetPos-_xlpm.adminPos-3+2),LEFT(_xlpm.prefixText,FIND("街道",_xlpm.prefixText)-1+2)))</f>
        <v>泉秀街道</v>
      </c>
      <c r="Q19" s="4" t="str" cm="1">
        <f t="array" ref="Q19">_xlfn.LET(_xlpm.fullText,A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泉秀街道</v>
      </c>
    </row>
    <row r="20" spans="1:17">
      <c r="A20" s="3" t="s">
        <v>33</v>
      </c>
      <c r="K20" s="4" t="str" cm="1">
        <f t="array" ref="K20">MID(A20,MAX(IFERROR(FIND({"省","市","区","县"},A20),0))+1,FIND("街道",A20)-MAX(IFERROR(FIND({"省","市","区","县"},A20),0))-1+2)</f>
        <v>城东街道</v>
      </c>
      <c r="M20" s="4" t="str" cm="1">
        <f t="array" ref="M20">MID(A20,MAX(IFERROR(FIND({"省"},A20),0),IFERROR(FIND({"市"},A20),0),IFERROR(FIND({"区"},A20),0),IFERROR(FIND({"县"},A20),0))+1,FIND("街道",A20)-MAX(IFERROR(FIND({"省"},A20),0),IFERROR(FIND({"市"},A20),0),IFERROR(FIND({"区"},A20),0),IFERROR(FIND({"县"},A20),0))-1+2)</f>
        <v>城东街道</v>
      </c>
      <c r="O20" s="4" t="str" cm="1">
        <f t="array" ref="O20">_xlfn.LET(_xlpm.fullText,A20,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20" s="4" t="str" cm="1">
        <f t="array" ref="Q20">_xlfn.LET(_xlpm.fullText,A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21" spans="1:17">
      <c r="A21" s="3" t="s">
        <v>34</v>
      </c>
      <c r="K21" s="4" t="str" cm="1">
        <f t="array" ref="K21">MID(A21,MAX(IFERROR(FIND({"省","市","区","县"},A21),0))+1,FIND("街道",A21)-MAX(IFERROR(FIND({"省","市","区","县"},A21),0))-1+2)</f>
        <v>杏林街道</v>
      </c>
      <c r="M21" s="4" t="str" cm="1">
        <f t="array" ref="M21">MID(A21,MAX(IFERROR(FIND({"省"},A21),0),IFERROR(FIND({"市"},A21),0),IFERROR(FIND({"区"},A21),0),IFERROR(FIND({"县"},A21),0))+1,FIND("街道",A21)-MAX(IFERROR(FIND({"省"},A21),0),IFERROR(FIND({"市"},A21),0),IFERROR(FIND({"区"},A21),0),IFERROR(FIND({"县"},A21),0))-1+2)</f>
        <v>杏林街道</v>
      </c>
      <c r="O21" s="4" t="str" cm="1">
        <f t="array" ref="O21">_xlfn.LET(_xlpm.fullText,A21,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21" s="4" t="str" cm="1">
        <f t="array" ref="Q21">_xlfn.LET(_xlpm.fullText,A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22" spans="1:17">
      <c r="A22" s="3" t="s">
        <v>35</v>
      </c>
      <c r="K22" s="4" t="str" cm="1">
        <f t="array" ref="K22">MID(A22,MAX(IFERROR(FIND({"省","市","区","县"},A22),0))+1,FIND("街道",A22)-MAX(IFERROR(FIND({"省","市","区","县"},A22),0))-1+2)</f>
        <v>东海街道</v>
      </c>
      <c r="M22" s="4" t="str" cm="1">
        <f t="array" ref="M22">MID(A22,MAX(IFERROR(FIND({"省"},A22),0),IFERROR(FIND({"市"},A22),0),IFERROR(FIND({"区"},A22),0),IFERROR(FIND({"县"},A22),0))+1,FIND("街道",A22)-MAX(IFERROR(FIND({"省"},A22),0),IFERROR(FIND({"市"},A22),0),IFERROR(FIND({"区"},A22),0),IFERROR(FIND({"县"},A22),0))-1+2)</f>
        <v>东海街道</v>
      </c>
      <c r="O22" s="4" t="str" cm="1">
        <f t="array" ref="O22">_xlfn.LET(_xlpm.fullText,A22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2" s="4" t="str" cm="1">
        <f t="array" ref="Q22">_xlfn.LET(_xlpm.fullText,A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3" spans="1:17">
      <c r="A23" s="3" t="s">
        <v>27</v>
      </c>
      <c r="K23" s="4" t="str" cm="1">
        <f t="array" ref="K23">MID(A23,MAX(IFERROR(FIND({"省","市","区","县"},A23),0))+1,FIND("街道",A23)-MAX(IFERROR(FIND({"省","市","区","县"},A23),0))-1+2)</f>
        <v>东海街道</v>
      </c>
      <c r="M23" s="4" t="str" cm="1">
        <f t="array" ref="M23">MID(A23,MAX(IFERROR(FIND({"省"},A23),0),IFERROR(FIND({"市"},A23),0),IFERROR(FIND({"区"},A23),0),IFERROR(FIND({"县"},A23),0))+1,FIND("街道",A23)-MAX(IFERROR(FIND({"省"},A23),0),IFERROR(FIND({"市"},A23),0),IFERROR(FIND({"区"},A23),0),IFERROR(FIND({"县"},A23),0))-1+2)</f>
        <v>东海街道</v>
      </c>
      <c r="O23" s="4" t="str" cm="1">
        <f t="array" ref="O23">_xlfn.LET(_xlpm.fullText,A23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3" s="4" t="str" cm="1">
        <f t="array" ref="Q23">_xlfn.LET(_xlpm.fullText,A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 spans="1:17">
      <c r="A24" s="3" t="s">
        <v>28</v>
      </c>
      <c r="K24" s="4" t="str" cm="1">
        <f t="array" ref="K24">MID(A24,MAX(IFERROR(FIND({"省","市","区","县"},A24),0))+1,FIND("街道",A24)-MAX(IFERROR(FIND({"省","市","区","县"},A24),0))-1+2)</f>
        <v>东海街道</v>
      </c>
      <c r="M24" s="4" t="str" cm="1">
        <f t="array" ref="M24">MID(A24,MAX(IFERROR(FIND({"省"},A24),0),IFERROR(FIND({"市"},A24),0),IFERROR(FIND({"区"},A24),0),IFERROR(FIND({"县"},A24),0))+1,FIND("街道",A24)-MAX(IFERROR(FIND({"省"},A24),0),IFERROR(FIND({"市"},A24),0),IFERROR(FIND({"区"},A24),0),IFERROR(FIND({"县"},A24),0))-1+2)</f>
        <v>东海街道</v>
      </c>
      <c r="O24" s="4" t="str" cm="1">
        <f t="array" ref="O24">_xlfn.LET(_xlpm.fullText,A24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4" s="4" t="str" cm="1">
        <f t="array" ref="Q24">_xlfn.LET(_xlpm.fullText,A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5" spans="1:17">
      <c r="A25" s="3" t="s">
        <v>36</v>
      </c>
      <c r="K25" s="4" t="str" cm="1">
        <f t="array" ref="K25">MID(A25,MAX(IFERROR(FIND({"省","市","区","县"},A25),0))+1,FIND("街道",A25)-MAX(IFERROR(FIND({"省","市","区","县"},A25),0))-1+2)</f>
        <v>东海街道</v>
      </c>
      <c r="M25" s="4" t="str" cm="1">
        <f t="array" ref="M25">MID(A25,MAX(IFERROR(FIND({"省"},A25),0),IFERROR(FIND({"市"},A25),0),IFERROR(FIND({"区"},A25),0),IFERROR(FIND({"县"},A25),0))+1,FIND("街道",A25)-MAX(IFERROR(FIND({"省"},A25),0),IFERROR(FIND({"市"},A25),0),IFERROR(FIND({"区"},A25),0),IFERROR(FIND({"县"},A25),0))-1+2)</f>
        <v>东海街道</v>
      </c>
      <c r="O25" s="4" t="str" cm="1">
        <f t="array" ref="O25">_xlfn.LET(_xlpm.fullText,A25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5" s="4" t="str" cm="1">
        <f t="array" ref="Q25">_xlfn.LET(_xlpm.fullText,A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6" spans="1:17">
      <c r="A26" s="3" t="s">
        <v>37</v>
      </c>
      <c r="K26" s="4" t="str" cm="1">
        <f t="array" ref="K26">MID(A26,MAX(IFERROR(FIND({"省","市","区","县"},A26),0))+1,FIND("街道",A26)-MAX(IFERROR(FIND({"省","市","区","县"},A26),0))-1+2)</f>
        <v>殿前街道</v>
      </c>
      <c r="M26" s="4" t="str" cm="1">
        <f t="array" ref="M26">MID(A26,MAX(IFERROR(FIND({"省"},A26),0),IFERROR(FIND({"市"},A26),0),IFERROR(FIND({"区"},A26),0),IFERROR(FIND({"县"},A26),0))+1,FIND("街道",A26)-MAX(IFERROR(FIND({"省"},A26),0),IFERROR(FIND({"市"},A26),0),IFERROR(FIND({"区"},A26),0),IFERROR(FIND({"县"},A26),0))-1+2)</f>
        <v>殿前街道</v>
      </c>
      <c r="O26" s="4" t="str" cm="1">
        <f t="array" ref="O26">_xlfn.LET(_xlpm.fullText,A26,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26" s="4" t="str" cm="1">
        <f t="array" ref="Q26">_xlfn.LET(_xlpm.fullText,A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27" spans="1:17">
      <c r="A27" s="3" t="s">
        <v>38</v>
      </c>
      <c r="K27" s="4" t="str" cm="1">
        <f t="array" ref="K27">MID(A27,MAX(IFERROR(FIND({"省","市","区","县"},A27),0))+1,FIND("街道",A27)-MAX(IFERROR(FIND({"省","市","区","县"},A27),0))-1+2)</f>
        <v>望湖街道</v>
      </c>
      <c r="M27" s="4" t="str" cm="1">
        <f t="array" ref="M27">MID(A27,MAX(IFERROR(FIND({"省"},A27),0),IFERROR(FIND({"市"},A27),0),IFERROR(FIND({"区"},A27),0),IFERROR(FIND({"县"},A27),0))+1,FIND("街道",A27)-MAX(IFERROR(FIND({"省"},A27),0),IFERROR(FIND({"市"},A27),0),IFERROR(FIND({"区"},A27),0),IFERROR(FIND({"县"},A27),0))-1+2)</f>
        <v>望湖街道</v>
      </c>
      <c r="O27" s="4" t="str" cm="1">
        <f t="array" ref="O27">_xlfn.LET(_xlpm.fullText,A27,_xlpm.streetPos,FIND("街道",_xlpm.fullText)+2,_xlpm.prefixText,LEFT(_xlpm.fullText,_xlpm.streetPos-1),_xlpm.adminPos,MAX(IFERROR(FIND({"省","市","区","县"},_xlpm.prefixText),0)),IF(_xlpm.adminPos&gt;0,MID(_xlpm.prefixText,_xlpm.adminPos+1,_xlpm.streetPos-_xlpm.adminPos-3+2),LEFT(_xlpm.prefixText,FIND("街道",_xlpm.prefixText)-1+2)))</f>
        <v>望湖街道</v>
      </c>
      <c r="Q27" s="4" t="str" cm="1">
        <f t="array" ref="Q27">_xlfn.LET(_xlpm.fullText,A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望湖街道</v>
      </c>
    </row>
    <row r="28" ht="28.8" spans="1:17">
      <c r="A28" s="3" t="s">
        <v>39</v>
      </c>
      <c r="K28" s="4" t="str" cm="1">
        <f t="array" ref="K28">MID(A28,MAX(IFERROR(FIND({"省","市","区","县"},A28),0))+1,FIND("街道",A28)-MAX(IFERROR(FIND({"省","市","区","县"},A28),0))-1+2)</f>
        <v>七里塘街道</v>
      </c>
      <c r="M28" s="4" t="str" cm="1">
        <f t="array" ref="M28">MID(A28,MAX(IFERROR(FIND({"省"},A28),0),IFERROR(FIND({"市"},A28),0),IFERROR(FIND({"区"},A28),0),IFERROR(FIND({"县"},A28),0))+1,FIND("街道",A28)-MAX(IFERROR(FIND({"省"},A28),0),IFERROR(FIND({"市"},A28),0),IFERROR(FIND({"区"},A28),0),IFERROR(FIND({"县"},A28),0))-1+2)</f>
        <v>七里塘街道</v>
      </c>
      <c r="O28" s="4" t="str" cm="1">
        <f t="array" ref="O28">_xlfn.LET(_xlpm.fullText,A28,_xlpm.streetPos,FIND("街道",_xlpm.fullText)+2,_xlpm.prefixText,LEFT(_xlpm.fullText,_xlpm.streetPos-1),_xlpm.adminPos,MAX(IFERROR(FIND({"省","市","区","县"},_xlpm.prefixText),0)),IF(_xlpm.adminPos&gt;0,MID(_xlpm.prefixText,_xlpm.adminPos+1,_xlpm.streetPos-_xlpm.adminPos-3+2),LEFT(_xlpm.prefixText,FIND("街道",_xlpm.prefixText)-1+2)))</f>
        <v>七里塘街道</v>
      </c>
      <c r="Q28" s="4" t="str" cm="1">
        <f t="array" ref="Q28">_xlfn.LET(_xlpm.fullText,A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七里塘街道</v>
      </c>
    </row>
    <row r="29" spans="1:17">
      <c r="A29" s="3" t="s">
        <v>40</v>
      </c>
      <c r="K29" s="4" t="str" cm="1">
        <f t="array" ref="K29">MID(A29,MAX(IFERROR(FIND({"省","市","区","县"},A29),0))+1,FIND("街道",A29)-MAX(IFERROR(FIND({"省","市","区","县"},A29),0))-1+2)</f>
        <v>安镇街道</v>
      </c>
      <c r="M29" s="4" t="str" cm="1">
        <f t="array" ref="M29">MID(A29,MAX(IFERROR(FIND({"省"},A29),0),IFERROR(FIND({"市"},A29),0),IFERROR(FIND({"区"},A29),0),IFERROR(FIND({"县"},A29),0))+1,FIND("街道",A29)-MAX(IFERROR(FIND({"省"},A29),0),IFERROR(FIND({"市"},A29),0),IFERROR(FIND({"区"},A29),0),IFERROR(FIND({"县"},A29),0))-1+2)</f>
        <v>安镇街道</v>
      </c>
      <c r="O29" s="4" t="str" cm="1">
        <f t="array" ref="O29">_xlfn.LET(_xlpm.fullText,A29,_xlpm.streetPos,FIND("街道",_xlpm.fullText)+2,_xlpm.prefixText,LEFT(_xlpm.fullText,_xlpm.streetPos-1),_xlpm.adminPos,MAX(IFERROR(FIND({"省","市","区","县"},_xlpm.prefixText),0)),IF(_xlpm.adminPos&gt;0,MID(_xlpm.prefixText,_xlpm.adminPos+1,_xlpm.streetPos-_xlpm.adminPos-3+2),LEFT(_xlpm.prefixText,FIND("街道",_xlpm.prefixText)-1+2)))</f>
        <v>安镇街道</v>
      </c>
      <c r="Q29" s="4" t="str" cm="1">
        <f t="array" ref="Q29">_xlfn.LET(_xlpm.fullText,A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安镇街道</v>
      </c>
    </row>
    <row r="30" spans="1:17">
      <c r="A30" s="3" t="s">
        <v>41</v>
      </c>
      <c r="K30" s="4" t="str" cm="1">
        <f t="array" ref="K30">MID(A30,MAX(IFERROR(FIND({"省","市","区","县"},A30),0))+1,FIND("街道",A30)-MAX(IFERROR(FIND({"省","市","区","县"},A30),0))-1+2)</f>
        <v>东海街道</v>
      </c>
      <c r="M30" s="4" t="str" cm="1">
        <f t="array" ref="M30">MID(A30,MAX(IFERROR(FIND({"省"},A30),0),IFERROR(FIND({"市"},A30),0),IFERROR(FIND({"区"},A30),0),IFERROR(FIND({"县"},A30),0))+1,FIND("街道",A30)-MAX(IFERROR(FIND({"省"},A30),0),IFERROR(FIND({"市"},A30),0),IFERROR(FIND({"区"},A30),0),IFERROR(FIND({"县"},A30),0))-1+2)</f>
        <v>东海街道</v>
      </c>
      <c r="O30" s="4" t="str" cm="1">
        <f t="array" ref="O30">_xlfn.LET(_xlpm.fullText,A30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 s="4" t="str" cm="1">
        <f t="array" ref="Q30">_xlfn.LET(_xlpm.fullText,A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 spans="1:17">
      <c r="A31" s="3" t="s">
        <v>25</v>
      </c>
      <c r="K31" s="4" t="str" cm="1">
        <f t="array" ref="K31">MID(A31,MAX(IFERROR(FIND({"省","市","区","县"},A31),0))+1,FIND("街道",A31)-MAX(IFERROR(FIND({"省","市","区","县"},A31),0))-1+2)</f>
        <v>东海街道</v>
      </c>
      <c r="M31" s="4" t="str" cm="1">
        <f t="array" ref="M31">MID(A31,MAX(IFERROR(FIND({"省"},A31),0),IFERROR(FIND({"市"},A31),0),IFERROR(FIND({"区"},A31),0),IFERROR(FIND({"县"},A31),0))+1,FIND("街道",A31)-MAX(IFERROR(FIND({"省"},A31),0),IFERROR(FIND({"市"},A31),0),IFERROR(FIND({"区"},A31),0),IFERROR(FIND({"县"},A31),0))-1+2)</f>
        <v>东海街道</v>
      </c>
      <c r="O31" s="4" t="str" cm="1">
        <f t="array" ref="O31">_xlfn.LET(_xlpm.fullText,A31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 s="4" t="str" cm="1">
        <f t="array" ref="Q31">_xlfn.LET(_xlpm.fullText,A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2" spans="1:17">
      <c r="A32" s="3" t="s">
        <v>27</v>
      </c>
      <c r="K32" s="4" t="str" cm="1">
        <f t="array" ref="K32">MID(A32,MAX(IFERROR(FIND({"省","市","区","县"},A32),0))+1,FIND("街道",A32)-MAX(IFERROR(FIND({"省","市","区","县"},A32),0))-1+2)</f>
        <v>东海街道</v>
      </c>
      <c r="M32" s="4" t="str" cm="1">
        <f t="array" ref="M32">MID(A32,MAX(IFERROR(FIND({"省"},A32),0),IFERROR(FIND({"市"},A32),0),IFERROR(FIND({"区"},A32),0),IFERROR(FIND({"县"},A32),0))+1,FIND("街道",A32)-MAX(IFERROR(FIND({"省"},A32),0),IFERROR(FIND({"市"},A32),0),IFERROR(FIND({"区"},A32),0),IFERROR(FIND({"县"},A32),0))-1+2)</f>
        <v>东海街道</v>
      </c>
      <c r="O32" s="4" t="str" cm="1">
        <f t="array" ref="O32">_xlfn.LET(_xlpm.fullText,A32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2" s="4" t="str" cm="1">
        <f t="array" ref="Q32">_xlfn.LET(_xlpm.fullText,A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3" spans="1:17">
      <c r="A33" s="3" t="s">
        <v>42</v>
      </c>
      <c r="K33" s="4" t="str" cm="1">
        <f t="array" ref="K33">MID(A33,MAX(IFERROR(FIND({"省","市","区","县"},A33),0))+1,FIND("街道",A33)-MAX(IFERROR(FIND({"省","市","区","县"},A33),0))-1+2)</f>
        <v>殿前街道</v>
      </c>
      <c r="M33" s="4" t="str" cm="1">
        <f t="array" ref="M33">MID(A33,MAX(IFERROR(FIND({"省"},A33),0),IFERROR(FIND({"市"},A33),0),IFERROR(FIND({"区"},A33),0),IFERROR(FIND({"县"},A33),0))+1,FIND("街道",A33)-MAX(IFERROR(FIND({"省"},A33),0),IFERROR(FIND({"市"},A33),0),IFERROR(FIND({"区"},A33),0),IFERROR(FIND({"县"},A33),0))-1+2)</f>
        <v>殿前街道</v>
      </c>
      <c r="O33" s="4" t="str" cm="1">
        <f t="array" ref="O33">_xlfn.LET(_xlpm.fullText,A33,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33" s="4" t="str" cm="1">
        <f t="array" ref="Q33">_xlfn.LET(_xlpm.fullText,A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34" spans="1:17">
      <c r="A34" s="3" t="s">
        <v>43</v>
      </c>
      <c r="K34" s="4" t="str" cm="1">
        <f t="array" ref="K34">MID(A34,MAX(IFERROR(FIND({"省","市","区","县"},A34),0))+1,FIND("街道",A34)-MAX(IFERROR(FIND({"省","市","区","县"},A34),0))-1+2)</f>
        <v>东海街道</v>
      </c>
      <c r="M34" s="4" t="str" cm="1">
        <f t="array" ref="M34">MID(A34,MAX(IFERROR(FIND({"省"},A34),0),IFERROR(FIND({"市"},A34),0),IFERROR(FIND({"区"},A34),0),IFERROR(FIND({"县"},A34),0))+1,FIND("街道",A34)-MAX(IFERROR(FIND({"省"},A34),0),IFERROR(FIND({"市"},A34),0),IFERROR(FIND({"区"},A34),0),IFERROR(FIND({"县"},A34),0))-1+2)</f>
        <v>东海街道</v>
      </c>
      <c r="O34" s="4" t="str" cm="1">
        <f t="array" ref="O34">_xlfn.LET(_xlpm.fullText,A34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 s="4" t="str" cm="1">
        <f t="array" ref="Q34">_xlfn.LET(_xlpm.fullText,A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 spans="1:17">
      <c r="A35" s="3" t="s">
        <v>44</v>
      </c>
      <c r="K35" s="4" t="str" cm="1">
        <f t="array" ref="K35">MID(A35,MAX(IFERROR(FIND({"省","市","区","县"},A35),0))+1,FIND("街道",A35)-MAX(IFERROR(FIND({"省","市","区","县"},A35),0))-1+2)</f>
        <v>北峰街道</v>
      </c>
      <c r="M35" s="4" t="str" cm="1">
        <f t="array" ref="M35">MID(A35,MAX(IFERROR(FIND({"省"},A35),0),IFERROR(FIND({"市"},A35),0),IFERROR(FIND({"区"},A35),0),IFERROR(FIND({"县"},A35),0))+1,FIND("街道",A35)-MAX(IFERROR(FIND({"省"},A35),0),IFERROR(FIND({"市"},A35),0),IFERROR(FIND({"区"},A35),0),IFERROR(FIND({"县"},A35),0))-1+2)</f>
        <v>北峰街道</v>
      </c>
      <c r="O35" s="4" t="str" cm="1">
        <f t="array" ref="O35">_xlfn.LET(_xlpm.fullText,A35,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35" s="4" t="str" cm="1">
        <f t="array" ref="Q35">_xlfn.LET(_xlpm.fullText,A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36" spans="1:17">
      <c r="A36" s="3" t="s">
        <v>45</v>
      </c>
      <c r="K36" s="4" t="str" cm="1">
        <f t="array" ref="K36">MID(A36,MAX(IFERROR(FIND({"省","市","区","县"},A36),0))+1,FIND("街道",A36)-MAX(IFERROR(FIND({"省","市","区","县"},A36),0))-1+2)</f>
        <v>丰泽街道</v>
      </c>
      <c r="M36" s="4" t="str" cm="1">
        <f t="array" ref="M36">MID(A36,MAX(IFERROR(FIND({"省"},A36),0),IFERROR(FIND({"市"},A36),0),IFERROR(FIND({"区"},A36),0),IFERROR(FIND({"县"},A36),0))+1,FIND("街道",A36)-MAX(IFERROR(FIND({"省"},A36),0),IFERROR(FIND({"市"},A36),0),IFERROR(FIND({"区"},A36),0),IFERROR(FIND({"县"},A36),0))-1+2)</f>
        <v>丰泽街道</v>
      </c>
      <c r="O36" s="4" t="str" cm="1">
        <f t="array" ref="O36">_xlfn.LET(_xlpm.fullText,A36,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36" s="4" t="str" cm="1">
        <f t="array" ref="Q36">_xlfn.LET(_xlpm.fullText,A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37" spans="1:17">
      <c r="A37" s="3" t="s">
        <v>43</v>
      </c>
      <c r="K37" s="4" t="str" cm="1">
        <f t="array" ref="K37">MID(A37,MAX(IFERROR(FIND({"省","市","区","县"},A37),0))+1,FIND("街道",A37)-MAX(IFERROR(FIND({"省","市","区","县"},A37),0))-1+2)</f>
        <v>东海街道</v>
      </c>
      <c r="M37" s="4" t="str" cm="1">
        <f t="array" ref="M37">MID(A37,MAX(IFERROR(FIND({"省"},A37),0),IFERROR(FIND({"市"},A37),0),IFERROR(FIND({"区"},A37),0),IFERROR(FIND({"县"},A37),0))+1,FIND("街道",A37)-MAX(IFERROR(FIND({"省"},A37),0),IFERROR(FIND({"市"},A37),0),IFERROR(FIND({"区"},A37),0),IFERROR(FIND({"县"},A37),0))-1+2)</f>
        <v>东海街道</v>
      </c>
      <c r="O37" s="4" t="str" cm="1">
        <f t="array" ref="O37">_xlfn.LET(_xlpm.fullText,A37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 s="4" t="str" cm="1">
        <f t="array" ref="Q37">_xlfn.LET(_xlpm.fullText,A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8" spans="1:17">
      <c r="A38" s="3" t="s">
        <v>46</v>
      </c>
      <c r="K38" s="4" t="str" cm="1">
        <f t="array" ref="K38">MID(A38,MAX(IFERROR(FIND({"省","市","区","县"},A38),0))+1,FIND("街道",A38)-MAX(IFERROR(FIND({"省","市","区","县"},A38),0))-1+2)</f>
        <v>东海街道</v>
      </c>
      <c r="M38" s="4" t="str" cm="1">
        <f t="array" ref="M38">MID(A38,MAX(IFERROR(FIND({"省"},A38),0),IFERROR(FIND({"市"},A38),0),IFERROR(FIND({"区"},A38),0),IFERROR(FIND({"县"},A38),0))+1,FIND("街道",A38)-MAX(IFERROR(FIND({"省"},A38),0),IFERROR(FIND({"市"},A38),0),IFERROR(FIND({"区"},A38),0),IFERROR(FIND({"县"},A38),0))-1+2)</f>
        <v>东海街道</v>
      </c>
      <c r="O38" s="4" t="str" cm="1">
        <f t="array" ref="O38">_xlfn.LET(_xlpm.fullText,A38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8" s="4" t="str" cm="1">
        <f t="array" ref="Q38">_xlfn.LET(_xlpm.fullText,A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 spans="1:17">
      <c r="A39" s="3" t="s">
        <v>47</v>
      </c>
      <c r="K39" s="4" t="str" cm="1">
        <f t="array" ref="K39">MID(A39,MAX(IFERROR(FIND({"省","市","区","县"},A39),0))+1,FIND("街道",A39)-MAX(IFERROR(FIND({"省","市","区","县"},A39),0))-1+2)</f>
        <v>鲤中街道</v>
      </c>
      <c r="M39" s="4" t="str" cm="1">
        <f t="array" ref="M39">MID(A39,MAX(IFERROR(FIND({"省"},A39),0),IFERROR(FIND({"市"},A39),0),IFERROR(FIND({"区"},A39),0),IFERROR(FIND({"县"},A39),0))+1,FIND("街道",A39)-MAX(IFERROR(FIND({"省"},A39),0),IFERROR(FIND({"市"},A39),0),IFERROR(FIND({"区"},A39),0),IFERROR(FIND({"县"},A39),0))-1+2)</f>
        <v>鲤中街道</v>
      </c>
      <c r="O39" s="4" t="str" cm="1">
        <f t="array" ref="O39">_xlfn.LET(_xlpm.fullText,A39,_xlpm.streetPos,FIND("街道",_xlpm.fullText)+2,_xlpm.prefixText,LEFT(_xlpm.fullText,_xlpm.streetPos-1),_xlpm.adminPos,MAX(IFERROR(FIND({"省","市","区","县"},_xlpm.prefixText),0)),IF(_xlpm.adminPos&gt;0,MID(_xlpm.prefixText,_xlpm.adminPos+1,_xlpm.streetPos-_xlpm.adminPos-3+2),LEFT(_xlpm.prefixText,FIND("街道",_xlpm.prefixText)-1+2)))</f>
        <v>鲤中街道</v>
      </c>
      <c r="Q39" s="4" t="str" cm="1">
        <f t="array" ref="Q39">_xlfn.LET(_xlpm.fullText,A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鲤中街道</v>
      </c>
    </row>
    <row r="40" spans="1:17">
      <c r="A40" s="3" t="s">
        <v>48</v>
      </c>
      <c r="K40" s="4" t="str" cm="1">
        <f t="array" ref="K40">MID(A40,MAX(IFERROR(FIND({"省","市","区","县"},A40),0))+1,FIND("街道",A40)-MAX(IFERROR(FIND({"省","市","区","县"},A40),0))-1+2)</f>
        <v>集美街道</v>
      </c>
      <c r="M40" s="4" t="str" cm="1">
        <f t="array" ref="M40">MID(A40,MAX(IFERROR(FIND({"省"},A40),0),IFERROR(FIND({"市"},A40),0),IFERROR(FIND({"区"},A40),0),IFERROR(FIND({"县"},A40),0))+1,FIND("街道",A40)-MAX(IFERROR(FIND({"省"},A40),0),IFERROR(FIND({"市"},A40),0),IFERROR(FIND({"区"},A40),0),IFERROR(FIND({"县"},A40),0))-1+2)</f>
        <v>集美街道</v>
      </c>
      <c r="O40" s="4" t="str" cm="1">
        <f t="array" ref="O40">_xlfn.LET(_xlpm.fullText,A40,_xlpm.streetPos,FIND("街道",_xlpm.fullText)+2,_xlpm.prefixText,LEFT(_xlpm.fullText,_xlpm.streetPos-1),_xlpm.adminPos,MAX(IFERROR(FIND({"省","市","区","县"},_xlpm.prefixText),0)),IF(_xlpm.adminPos&gt;0,MID(_xlpm.prefixText,_xlpm.adminPos+1,_xlpm.streetPos-_xlpm.adminPos-3+2),LEFT(_xlpm.prefixText,FIND("街道",_xlpm.prefixText)-1+2)))</f>
        <v>集美街道</v>
      </c>
      <c r="Q40" s="4" t="str" cm="1">
        <f t="array" ref="Q40">_xlfn.LET(_xlpm.fullText,A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集美街道</v>
      </c>
    </row>
    <row r="41" spans="1:17">
      <c r="A41" s="3" t="s">
        <v>49</v>
      </c>
      <c r="K41" s="4" t="str" cm="1">
        <f t="array" ref="K41">MID(A41,MAX(IFERROR(FIND({"省","市","区","县"},A41),0))+1,FIND("街道",A41)-MAX(IFERROR(FIND({"省","市","区","县"},A41),0))-1+2)</f>
        <v>城东街道</v>
      </c>
      <c r="M41" s="4" t="str" cm="1">
        <f t="array" ref="M41">MID(A41,MAX(IFERROR(FIND({"省"},A41),0),IFERROR(FIND({"市"},A41),0),IFERROR(FIND({"区"},A41),0),IFERROR(FIND({"县"},A41),0))+1,FIND("街道",A41)-MAX(IFERROR(FIND({"省"},A41),0),IFERROR(FIND({"市"},A41),0),IFERROR(FIND({"区"},A41),0),IFERROR(FIND({"县"},A41),0))-1+2)</f>
        <v>城东街道</v>
      </c>
      <c r="O41" s="4" t="str" cm="1">
        <f t="array" ref="O41">_xlfn.LET(_xlpm.fullText,A41,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41" s="4" t="str" cm="1">
        <f t="array" ref="Q41">_xlfn.LET(_xlpm.fullText,A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42" spans="1:17">
      <c r="A42" s="3" t="s">
        <v>28</v>
      </c>
      <c r="K42" s="4" t="str" cm="1">
        <f t="array" ref="K42">MID(A42,MAX(IFERROR(FIND({"省","市","区","县"},A42),0))+1,FIND("街道",A42)-MAX(IFERROR(FIND({"省","市","区","县"},A42),0))-1+2)</f>
        <v>东海街道</v>
      </c>
      <c r="M42" s="4" t="str" cm="1">
        <f t="array" ref="M42">MID(A42,MAX(IFERROR(FIND({"省"},A42),0),IFERROR(FIND({"市"},A42),0),IFERROR(FIND({"区"},A42),0),IFERROR(FIND({"县"},A42),0))+1,FIND("街道",A42)-MAX(IFERROR(FIND({"省"},A42),0),IFERROR(FIND({"市"},A42),0),IFERROR(FIND({"区"},A42),0),IFERROR(FIND({"县"},A42),0))-1+2)</f>
        <v>东海街道</v>
      </c>
      <c r="O42" s="4" t="str" cm="1">
        <f t="array" ref="O42">_xlfn.LET(_xlpm.fullText,A42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 s="4" t="str" cm="1">
        <f t="array" ref="Q42">_xlfn.LET(_xlpm.fullText,A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 spans="1:17">
      <c r="A43" s="3" t="s">
        <v>28</v>
      </c>
      <c r="K43" s="4" t="str" cm="1">
        <f t="array" ref="K43">MID(A43,MAX(IFERROR(FIND({"省","市","区","县"},A43),0))+1,FIND("街道",A43)-MAX(IFERROR(FIND({"省","市","区","县"},A43),0))-1+2)</f>
        <v>东海街道</v>
      </c>
      <c r="M43" s="4" t="str" cm="1">
        <f t="array" ref="M43">MID(A43,MAX(IFERROR(FIND({"省"},A43),0),IFERROR(FIND({"市"},A43),0),IFERROR(FIND({"区"},A43),0),IFERROR(FIND({"县"},A43),0))+1,FIND("街道",A43)-MAX(IFERROR(FIND({"省"},A43),0),IFERROR(FIND({"市"},A43),0),IFERROR(FIND({"区"},A43),0),IFERROR(FIND({"县"},A43),0))-1+2)</f>
        <v>东海街道</v>
      </c>
      <c r="O43" s="4" t="str" cm="1">
        <f t="array" ref="O43">_xlfn.LET(_xlpm.fullText,A43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 s="4" t="str" cm="1">
        <f t="array" ref="Q43">_xlfn.LET(_xlpm.fullText,A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4" spans="1:17">
      <c r="A44" s="3" t="s">
        <v>43</v>
      </c>
      <c r="K44" s="4" t="str" cm="1">
        <f t="array" ref="K44">MID(A44,MAX(IFERROR(FIND({"省","市","区","县"},A44),0))+1,FIND("街道",A44)-MAX(IFERROR(FIND({"省","市","区","县"},A44),0))-1+2)</f>
        <v>东海街道</v>
      </c>
      <c r="M44" s="4" t="str" cm="1">
        <f t="array" ref="M44">MID(A44,MAX(IFERROR(FIND({"省"},A44),0),IFERROR(FIND({"市"},A44),0),IFERROR(FIND({"区"},A44),0),IFERROR(FIND({"县"},A44),0))+1,FIND("街道",A44)-MAX(IFERROR(FIND({"省"},A44),0),IFERROR(FIND({"市"},A44),0),IFERROR(FIND({"区"},A44),0),IFERROR(FIND({"县"},A44),0))-1+2)</f>
        <v>东海街道</v>
      </c>
      <c r="O44" s="4" t="str" cm="1">
        <f t="array" ref="O44">_xlfn.LET(_xlpm.fullText,A44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4" s="4" t="str" cm="1">
        <f t="array" ref="Q44">_xlfn.LET(_xlpm.fullText,A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 spans="1:17">
      <c r="A45" s="3" t="s">
        <v>43</v>
      </c>
      <c r="K45" s="4" t="str" cm="1">
        <f t="array" ref="K45">MID(A45,MAX(IFERROR(FIND({"省","市","区","县"},A45),0))+1,FIND("街道",A45)-MAX(IFERROR(FIND({"省","市","区","县"},A45),0))-1+2)</f>
        <v>东海街道</v>
      </c>
      <c r="M45" s="4" t="str" cm="1">
        <f t="array" ref="M45">MID(A45,MAX(IFERROR(FIND({"省"},A45),0),IFERROR(FIND({"市"},A45),0),IFERROR(FIND({"区"},A45),0),IFERROR(FIND({"县"},A45),0))+1,FIND("街道",A45)-MAX(IFERROR(FIND({"省"},A45),0),IFERROR(FIND({"市"},A45),0),IFERROR(FIND({"区"},A45),0),IFERROR(FIND({"县"},A45),0))-1+2)</f>
        <v>东海街道</v>
      </c>
      <c r="O45" s="4" t="str" cm="1">
        <f t="array" ref="O45">_xlfn.LET(_xlpm.fullText,A45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 s="4" t="str" cm="1">
        <f t="array" ref="Q45">_xlfn.LET(_xlpm.fullText,A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 spans="1:17">
      <c r="A46" s="3" t="s">
        <v>50</v>
      </c>
      <c r="K46" s="4" t="str" cm="1">
        <f t="array" ref="K46">MID(A46,MAX(IFERROR(FIND({"省","市","区","县"},A46),0))+1,FIND("街道",A46)-MAX(IFERROR(FIND({"省","市","区","县"},A46),0))-1+2)</f>
        <v>城东街道</v>
      </c>
      <c r="M46" s="4" t="str" cm="1">
        <f t="array" ref="M46">MID(A46,MAX(IFERROR(FIND({"省"},A46),0),IFERROR(FIND({"市"},A46),0),IFERROR(FIND({"区"},A46),0),IFERROR(FIND({"县"},A46),0))+1,FIND("街道",A46)-MAX(IFERROR(FIND({"省"},A46),0),IFERROR(FIND({"市"},A46),0),IFERROR(FIND({"区"},A46),0),IFERROR(FIND({"县"},A46),0))-1+2)</f>
        <v>城东街道</v>
      </c>
      <c r="O46" s="4" t="str" cm="1">
        <f t="array" ref="O46">_xlfn.LET(_xlpm.fullText,A46,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46" s="4" t="str" cm="1">
        <f t="array" ref="Q46">_xlfn.LET(_xlpm.fullText,A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47" spans="1:17">
      <c r="A47" s="3" t="s">
        <v>43</v>
      </c>
      <c r="K47" s="4" t="str" cm="1">
        <f t="array" ref="K47">MID(A47,MAX(IFERROR(FIND({"省","市","区","县"},A47),0))+1,FIND("街道",A47)-MAX(IFERROR(FIND({"省","市","区","县"},A47),0))-1+2)</f>
        <v>东海街道</v>
      </c>
      <c r="M47" s="4" t="str" cm="1">
        <f t="array" ref="M47">MID(A47,MAX(IFERROR(FIND({"省"},A47),0),IFERROR(FIND({"市"},A47),0),IFERROR(FIND({"区"},A47),0),IFERROR(FIND({"县"},A47),0))+1,FIND("街道",A47)-MAX(IFERROR(FIND({"省"},A47),0),IFERROR(FIND({"市"},A47),0),IFERROR(FIND({"区"},A47),0),IFERROR(FIND({"县"},A47),0))-1+2)</f>
        <v>东海街道</v>
      </c>
      <c r="O47" s="4" t="str" cm="1">
        <f t="array" ref="O47">_xlfn.LET(_xlpm.fullText,A47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7" s="4" t="str" cm="1">
        <f t="array" ref="Q47">_xlfn.LET(_xlpm.fullText,A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8" spans="1:17">
      <c r="A48" s="3" t="s">
        <v>43</v>
      </c>
      <c r="K48" s="4" t="str" cm="1">
        <f t="array" ref="K48">MID(A48,MAX(IFERROR(FIND({"省","市","区","县"},A48),0))+1,FIND("街道",A48)-MAX(IFERROR(FIND({"省","市","区","县"},A48),0))-1+2)</f>
        <v>东海街道</v>
      </c>
      <c r="M48" s="4" t="str" cm="1">
        <f t="array" ref="M48">MID(A48,MAX(IFERROR(FIND({"省"},A48),0),IFERROR(FIND({"市"},A48),0),IFERROR(FIND({"区"},A48),0),IFERROR(FIND({"县"},A48),0))+1,FIND("街道",A48)-MAX(IFERROR(FIND({"省"},A48),0),IFERROR(FIND({"市"},A48),0),IFERROR(FIND({"区"},A48),0),IFERROR(FIND({"县"},A48),0))-1+2)</f>
        <v>东海街道</v>
      </c>
      <c r="O48" s="4" t="str" cm="1">
        <f t="array" ref="O48">_xlfn.LET(_xlpm.fullText,A48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8" s="4" t="str" cm="1">
        <f t="array" ref="Q48">_xlfn.LET(_xlpm.fullText,A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9" spans="1:17">
      <c r="A49" s="3" t="s">
        <v>25</v>
      </c>
      <c r="K49" s="4" t="str" cm="1">
        <f t="array" ref="K49">MID(A49,MAX(IFERROR(FIND({"省","市","区","县"},A49),0))+1,FIND("街道",A49)-MAX(IFERROR(FIND({"省","市","区","县"},A49),0))-1+2)</f>
        <v>东海街道</v>
      </c>
      <c r="M49" s="4" t="str" cm="1">
        <f t="array" ref="M49">MID(A49,MAX(IFERROR(FIND({"省"},A49),0),IFERROR(FIND({"市"},A49),0),IFERROR(FIND({"区"},A49),0),IFERROR(FIND({"县"},A49),0))+1,FIND("街道",A49)-MAX(IFERROR(FIND({"省"},A49),0),IFERROR(FIND({"市"},A49),0),IFERROR(FIND({"区"},A49),0),IFERROR(FIND({"县"},A49),0))-1+2)</f>
        <v>东海街道</v>
      </c>
      <c r="O49" s="4" t="str" cm="1">
        <f t="array" ref="O49">_xlfn.LET(_xlpm.fullText,A49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9" s="4" t="str" cm="1">
        <f t="array" ref="Q49">_xlfn.LET(_xlpm.fullText,A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0" spans="1:17">
      <c r="A50" s="3" t="s">
        <v>51</v>
      </c>
      <c r="K50" s="4" t="str" cm="1">
        <f t="array" ref="K50">MID(A50,MAX(IFERROR(FIND({"省","市","区","县"},A50),0))+1,FIND("街道",A50)-MAX(IFERROR(FIND({"省","市","区","县"},A50),0))-1+2)</f>
        <v>茶园街道</v>
      </c>
      <c r="M50" s="4" t="str" cm="1">
        <f t="array" ref="M50">MID(A50,MAX(IFERROR(FIND({"省"},A50),0),IFERROR(FIND({"市"},A50),0),IFERROR(FIND({"区"},A50),0),IFERROR(FIND({"县"},A50),0))+1,FIND("街道",A50)-MAX(IFERROR(FIND({"省"},A50),0),IFERROR(FIND({"市"},A50),0),IFERROR(FIND({"区"},A50),0),IFERROR(FIND({"县"},A50),0))-1+2)</f>
        <v>茶园街道</v>
      </c>
      <c r="O50" s="4" t="str" cm="1">
        <f t="array" ref="O50">_xlfn.LET(_xlpm.fullText,A50,_xlpm.streetPos,FIND("街道",_xlpm.fullText)+2,_xlpm.prefixText,LEFT(_xlpm.fullText,_xlpm.streetPos-1),_xlpm.adminPos,MAX(IFERROR(FIND({"省","市","区","县"},_xlpm.prefixText),0)),IF(_xlpm.adminPos&gt;0,MID(_xlpm.prefixText,_xlpm.adminPos+1,_xlpm.streetPos-_xlpm.adminPos-3+2),LEFT(_xlpm.prefixText,FIND("街道",_xlpm.prefixText)-1+2)))</f>
        <v>茶园街道</v>
      </c>
      <c r="Q50" s="4" t="str" cm="1">
        <f t="array" ref="Q50">_xlfn.LET(_xlpm.fullText,A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茶园街道</v>
      </c>
    </row>
    <row r="51" spans="1:17">
      <c r="A51" s="3" t="s">
        <v>27</v>
      </c>
      <c r="K51" s="4" t="str" cm="1">
        <f t="array" ref="K51">MID(A51,MAX(IFERROR(FIND({"省","市","区","县"},A51),0))+1,FIND("街道",A51)-MAX(IFERROR(FIND({"省","市","区","县"},A51),0))-1+2)</f>
        <v>东海街道</v>
      </c>
      <c r="M51" s="4" t="str" cm="1">
        <f t="array" ref="M51">MID(A51,MAX(IFERROR(FIND({"省"},A51),0),IFERROR(FIND({"市"},A51),0),IFERROR(FIND({"区"},A51),0),IFERROR(FIND({"县"},A51),0))+1,FIND("街道",A51)-MAX(IFERROR(FIND({"省"},A51),0),IFERROR(FIND({"市"},A51),0),IFERROR(FIND({"区"},A51),0),IFERROR(FIND({"县"},A51),0))-1+2)</f>
        <v>东海街道</v>
      </c>
      <c r="O51" s="4" t="str" cm="1">
        <f t="array" ref="O51">_xlfn.LET(_xlpm.fullText,A51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1" s="4" t="str" cm="1">
        <f t="array" ref="Q51">_xlfn.LET(_xlpm.fullText,A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2" spans="1:17">
      <c r="A52" s="3" t="s">
        <v>27</v>
      </c>
      <c r="K52" s="4" t="str" cm="1">
        <f t="array" ref="K52">MID(A52,MAX(IFERROR(FIND({"省","市","区","县"},A52),0))+1,FIND("街道",A52)-MAX(IFERROR(FIND({"省","市","区","县"},A52),0))-1+2)</f>
        <v>东海街道</v>
      </c>
      <c r="M52" s="4" t="str" cm="1">
        <f t="array" ref="M52">MID(A52,MAX(IFERROR(FIND({"省"},A52),0),IFERROR(FIND({"市"},A52),0),IFERROR(FIND({"区"},A52),0),IFERROR(FIND({"县"},A52),0))+1,FIND("街道",A52)-MAX(IFERROR(FIND({"省"},A52),0),IFERROR(FIND({"市"},A52),0),IFERROR(FIND({"区"},A52),0),IFERROR(FIND({"县"},A52),0))-1+2)</f>
        <v>东海街道</v>
      </c>
      <c r="O52" s="4" t="str" cm="1">
        <f t="array" ref="O52">_xlfn.LET(_xlpm.fullText,A52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2" s="4" t="str" cm="1">
        <f t="array" ref="Q52">_xlfn.LET(_xlpm.fullText,A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3" spans="1:17">
      <c r="A53" s="3" t="s">
        <v>27</v>
      </c>
      <c r="K53" s="4" t="str" cm="1">
        <f t="array" ref="K53">MID(A53,MAX(IFERROR(FIND({"省","市","区","县"},A53),0))+1,FIND("街道",A53)-MAX(IFERROR(FIND({"省","市","区","县"},A53),0))-1+2)</f>
        <v>东海街道</v>
      </c>
      <c r="M53" s="4" t="str" cm="1">
        <f t="array" ref="M53">MID(A53,MAX(IFERROR(FIND({"省"},A53),0),IFERROR(FIND({"市"},A53),0),IFERROR(FIND({"区"},A53),0),IFERROR(FIND({"县"},A53),0))+1,FIND("街道",A53)-MAX(IFERROR(FIND({"省"},A53),0),IFERROR(FIND({"市"},A53),0),IFERROR(FIND({"区"},A53),0),IFERROR(FIND({"县"},A53),0))-1+2)</f>
        <v>东海街道</v>
      </c>
      <c r="O53" s="4" t="str" cm="1">
        <f t="array" ref="O53">_xlfn.LET(_xlpm.fullText,A53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3" s="4" t="str" cm="1">
        <f t="array" ref="Q53">_xlfn.LET(_xlpm.fullText,A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4" spans="1:17">
      <c r="A54" s="3" t="s">
        <v>52</v>
      </c>
      <c r="K54" s="4" t="str" cm="1">
        <f t="array" ref="K54">MID(A54,MAX(IFERROR(FIND({"省","市","区","县"},A54),0))+1,FIND("街道",A54)-MAX(IFERROR(FIND({"省","市","区","县"},A54),0))-1+2)</f>
        <v>金山街道</v>
      </c>
      <c r="M54" s="4" t="str" cm="1">
        <f t="array" ref="M54">MID(A54,MAX(IFERROR(FIND({"省"},A54),0),IFERROR(FIND({"市"},A54),0),IFERROR(FIND({"区"},A54),0),IFERROR(FIND({"县"},A54),0))+1,FIND("街道",A54)-MAX(IFERROR(FIND({"省"},A54),0),IFERROR(FIND({"市"},A54),0),IFERROR(FIND({"区"},A54),0),IFERROR(FIND({"县"},A54),0))-1+2)</f>
        <v>金山街道</v>
      </c>
      <c r="O54" s="4" t="str" cm="1">
        <f t="array" ref="O54">_xlfn.LET(_xlpm.fullText,A54,_xlpm.streetPos,FIND("街道",_xlpm.fullText)+2,_xlpm.prefixText,LEFT(_xlpm.fullText,_xlpm.streetPos-1),_xlpm.adminPos,MAX(IFERROR(FIND({"省","市","区","县"},_xlpm.prefixText),0)),IF(_xlpm.adminPos&gt;0,MID(_xlpm.prefixText,_xlpm.adminPos+1,_xlpm.streetPos-_xlpm.adminPos-3+2),LEFT(_xlpm.prefixText,FIND("街道",_xlpm.prefixText)-1+2)))</f>
        <v>金山街道</v>
      </c>
      <c r="Q54" s="4" t="str" cm="1">
        <f t="array" ref="Q54">_xlfn.LET(_xlpm.fullText,A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金山街道</v>
      </c>
    </row>
    <row r="55" spans="1:17">
      <c r="A55" s="3" t="s">
        <v>27</v>
      </c>
      <c r="K55" s="4" t="str" cm="1">
        <f t="array" ref="K55">MID(A55,MAX(IFERROR(FIND({"省","市","区","县"},A55),0))+1,FIND("街道",A55)-MAX(IFERROR(FIND({"省","市","区","县"},A55),0))-1+2)</f>
        <v>东海街道</v>
      </c>
      <c r="M55" s="4" t="str" cm="1">
        <f t="array" ref="M55">MID(A55,MAX(IFERROR(FIND({"省"},A55),0),IFERROR(FIND({"市"},A55),0),IFERROR(FIND({"区"},A55),0),IFERROR(FIND({"县"},A55),0))+1,FIND("街道",A55)-MAX(IFERROR(FIND({"省"},A55),0),IFERROR(FIND({"市"},A55),0),IFERROR(FIND({"区"},A55),0),IFERROR(FIND({"县"},A55),0))-1+2)</f>
        <v>东海街道</v>
      </c>
      <c r="O55" s="4" t="str" cm="1">
        <f t="array" ref="O55">_xlfn.LET(_xlpm.fullText,A55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5" s="4" t="str" cm="1">
        <f t="array" ref="Q55">_xlfn.LET(_xlpm.fullText,A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6" spans="1:17">
      <c r="A56" s="3" t="s">
        <v>27</v>
      </c>
      <c r="K56" s="4" t="str" cm="1">
        <f t="array" ref="K56">MID(A56,MAX(IFERROR(FIND({"省","市","区","县"},A56),0))+1,FIND("街道",A56)-MAX(IFERROR(FIND({"省","市","区","县"},A56),0))-1+2)</f>
        <v>东海街道</v>
      </c>
      <c r="M56" s="4" t="str" cm="1">
        <f t="array" ref="M56">MID(A56,MAX(IFERROR(FIND({"省"},A56),0),IFERROR(FIND({"市"},A56),0),IFERROR(FIND({"区"},A56),0),IFERROR(FIND({"县"},A56),0))+1,FIND("街道",A56)-MAX(IFERROR(FIND({"省"},A56),0),IFERROR(FIND({"市"},A56),0),IFERROR(FIND({"区"},A56),0),IFERROR(FIND({"县"},A56),0))-1+2)</f>
        <v>东海街道</v>
      </c>
      <c r="O56" s="4" t="str" cm="1">
        <f t="array" ref="O56">_xlfn.LET(_xlpm.fullText,A56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6" s="4" t="str" cm="1">
        <f t="array" ref="Q56">_xlfn.LET(_xlpm.fullText,A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7" spans="1:17">
      <c r="A57" s="3" t="s">
        <v>27</v>
      </c>
      <c r="K57" s="4" t="str" cm="1">
        <f t="array" ref="K57">MID(A57,MAX(IFERROR(FIND({"省","市","区","县"},A57),0))+1,FIND("街道",A57)-MAX(IFERROR(FIND({"省","市","区","县"},A57),0))-1+2)</f>
        <v>东海街道</v>
      </c>
      <c r="M57" s="4" t="str" cm="1">
        <f t="array" ref="M57">MID(A57,MAX(IFERROR(FIND({"省"},A57),0),IFERROR(FIND({"市"},A57),0),IFERROR(FIND({"区"},A57),0),IFERROR(FIND({"县"},A57),0))+1,FIND("街道",A57)-MAX(IFERROR(FIND({"省"},A57),0),IFERROR(FIND({"市"},A57),0),IFERROR(FIND({"区"},A57),0),IFERROR(FIND({"县"},A57),0))-1+2)</f>
        <v>东海街道</v>
      </c>
      <c r="O57" s="4" t="str" cm="1">
        <f t="array" ref="O57">_xlfn.LET(_xlpm.fullText,A57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7" s="4" t="str" cm="1">
        <f t="array" ref="Q57">_xlfn.LET(_xlpm.fullText,A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8" spans="1:17">
      <c r="A58" s="3" t="s">
        <v>27</v>
      </c>
      <c r="K58" s="4" t="str" cm="1">
        <f t="array" ref="K58">MID(A58,MAX(IFERROR(FIND({"省","市","区","县"},A58),0))+1,FIND("街道",A58)-MAX(IFERROR(FIND({"省","市","区","县"},A58),0))-1+2)</f>
        <v>东海街道</v>
      </c>
      <c r="M58" s="4" t="str" cm="1">
        <f t="array" ref="M58">MID(A58,MAX(IFERROR(FIND({"省"},A58),0),IFERROR(FIND({"市"},A58),0),IFERROR(FIND({"区"},A58),0),IFERROR(FIND({"县"},A58),0))+1,FIND("街道",A58)-MAX(IFERROR(FIND({"省"},A58),0),IFERROR(FIND({"市"},A58),0),IFERROR(FIND({"区"},A58),0),IFERROR(FIND({"县"},A58),0))-1+2)</f>
        <v>东海街道</v>
      </c>
      <c r="O58" s="4" t="str" cm="1">
        <f t="array" ref="O58">_xlfn.LET(_xlpm.fullText,A58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8" s="4" t="str" cm="1">
        <f t="array" ref="Q58">_xlfn.LET(_xlpm.fullText,A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9" spans="1:17">
      <c r="A59" s="3" t="s">
        <v>26</v>
      </c>
      <c r="K59" s="4" t="str" cm="1">
        <f t="array" ref="K59">MID(A59,MAX(IFERROR(FIND({"省","市","区","县"},A59),0))+1,FIND("街道",A59)-MAX(IFERROR(FIND({"省","市","区","县"},A59),0))-1+2)</f>
        <v>城东街道</v>
      </c>
      <c r="M59" s="4" t="str" cm="1">
        <f t="array" ref="M59">MID(A59,MAX(IFERROR(FIND({"省"},A59),0),IFERROR(FIND({"市"},A59),0),IFERROR(FIND({"区"},A59),0),IFERROR(FIND({"县"},A59),0))+1,FIND("街道",A59)-MAX(IFERROR(FIND({"省"},A59),0),IFERROR(FIND({"市"},A59),0),IFERROR(FIND({"区"},A59),0),IFERROR(FIND({"县"},A59),0))-1+2)</f>
        <v>城东街道</v>
      </c>
      <c r="O59" s="4" t="str" cm="1">
        <f t="array" ref="O59">_xlfn.LET(_xlpm.fullText,A59,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59" s="4" t="str" cm="1">
        <f t="array" ref="Q59">_xlfn.LET(_xlpm.fullText,A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60" spans="1:17">
      <c r="A60" s="3" t="s">
        <v>27</v>
      </c>
      <c r="K60" s="4" t="str" cm="1">
        <f t="array" ref="K60">MID(A60,MAX(IFERROR(FIND({"省","市","区","县"},A60),0))+1,FIND("街道",A60)-MAX(IFERROR(FIND({"省","市","区","县"},A60),0))-1+2)</f>
        <v>东海街道</v>
      </c>
      <c r="M60" s="4" t="str" cm="1">
        <f t="array" ref="M60">MID(A60,MAX(IFERROR(FIND({"省"},A60),0),IFERROR(FIND({"市"},A60),0),IFERROR(FIND({"区"},A60),0),IFERROR(FIND({"县"},A60),0))+1,FIND("街道",A60)-MAX(IFERROR(FIND({"省"},A60),0),IFERROR(FIND({"市"},A60),0),IFERROR(FIND({"区"},A60),0),IFERROR(FIND({"县"},A60),0))-1+2)</f>
        <v>东海街道</v>
      </c>
      <c r="O60" s="4" t="str" cm="1">
        <f t="array" ref="O60">_xlfn.LET(_xlpm.fullText,A60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0" s="4" t="str" cm="1">
        <f t="array" ref="Q60">_xlfn.LET(_xlpm.fullText,A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1" spans="1:17">
      <c r="A61" s="3" t="s">
        <v>27</v>
      </c>
      <c r="K61" s="4" t="str" cm="1">
        <f t="array" ref="K61">MID(A61,MAX(IFERROR(FIND({"省","市","区","县"},A61),0))+1,FIND("街道",A61)-MAX(IFERROR(FIND({"省","市","区","县"},A61),0))-1+2)</f>
        <v>东海街道</v>
      </c>
      <c r="M61" s="4" t="str" cm="1">
        <f t="array" ref="M61">MID(A61,MAX(IFERROR(FIND({"省"},A61),0),IFERROR(FIND({"市"},A61),0),IFERROR(FIND({"区"},A61),0),IFERROR(FIND({"县"},A61),0))+1,FIND("街道",A61)-MAX(IFERROR(FIND({"省"},A61),0),IFERROR(FIND({"市"},A61),0),IFERROR(FIND({"区"},A61),0),IFERROR(FIND({"县"},A61),0))-1+2)</f>
        <v>东海街道</v>
      </c>
      <c r="O61" s="4" t="str" cm="1">
        <f t="array" ref="O61">_xlfn.LET(_xlpm.fullText,A61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1" s="4" t="str" cm="1">
        <f t="array" ref="Q61">_xlfn.LET(_xlpm.fullText,A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 spans="1:17">
      <c r="A62" s="3" t="s">
        <v>53</v>
      </c>
      <c r="K62" s="4" t="str" cm="1">
        <f t="array" ref="K62">MID(A62,MAX(IFERROR(FIND({"省","市","区","县"},A62),0))+1,FIND("街道",A62)-MAX(IFERROR(FIND({"省","市","区","县"},A62),0))-1+2)</f>
        <v>东海街道</v>
      </c>
      <c r="M62" s="4" t="str" cm="1">
        <f t="array" ref="M62">MID(A62,MAX(IFERROR(FIND({"省"},A62),0),IFERROR(FIND({"市"},A62),0),IFERROR(FIND({"区"},A62),0),IFERROR(FIND({"县"},A62),0))+1,FIND("街道",A62)-MAX(IFERROR(FIND({"省"},A62),0),IFERROR(FIND({"市"},A62),0),IFERROR(FIND({"区"},A62),0),IFERROR(FIND({"县"},A62),0))-1+2)</f>
        <v>东海街道</v>
      </c>
      <c r="O62" s="4" t="str" cm="1">
        <f t="array" ref="O62">_xlfn.LET(_xlpm.fullText,A62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 s="4" t="str" cm="1">
        <f t="array" ref="Q62">_xlfn.LET(_xlpm.fullText,A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3" spans="1:17">
      <c r="A63" s="3" t="s">
        <v>54</v>
      </c>
      <c r="K63" s="4" t="str" cm="1">
        <f t="array" ref="K63">MID(A63,MAX(IFERROR(FIND({"省","市","区","县"},A63),0))+1,FIND("街道",A63)-MAX(IFERROR(FIND({"省","市","区","县"},A63),0))-1+2)</f>
        <v>东海街道</v>
      </c>
      <c r="M63" s="4" t="str" cm="1">
        <f t="array" ref="M63">MID(A63,MAX(IFERROR(FIND({"省"},A63),0),IFERROR(FIND({"市"},A63),0),IFERROR(FIND({"区"},A63),0),IFERROR(FIND({"县"},A63),0))+1,FIND("街道",A63)-MAX(IFERROR(FIND({"省"},A63),0),IFERROR(FIND({"市"},A63),0),IFERROR(FIND({"区"},A63),0),IFERROR(FIND({"县"},A63),0))-1+2)</f>
        <v>东海街道</v>
      </c>
      <c r="O63" s="4" t="str" cm="1">
        <f t="array" ref="O63">_xlfn.LET(_xlpm.fullText,A63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3" s="4" t="str" cm="1">
        <f t="array" ref="Q63">_xlfn.LET(_xlpm.fullText,A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 spans="1:17">
      <c r="A64" s="3" t="s">
        <v>55</v>
      </c>
      <c r="K64" s="4" t="str" cm="1">
        <f t="array" ref="K64">MID(A64,MAX(IFERROR(FIND({"省","市","区","县"},A64),0))+1,FIND("街道",A64)-MAX(IFERROR(FIND({"省","市","区","县"},A64),0))-1+2)</f>
        <v>东海街道</v>
      </c>
      <c r="M64" s="4" t="str" cm="1">
        <f t="array" ref="M64">MID(A64,MAX(IFERROR(FIND({"省"},A64),0),IFERROR(FIND({"市"},A64),0),IFERROR(FIND({"区"},A64),0),IFERROR(FIND({"县"},A64),0))+1,FIND("街道",A64)-MAX(IFERROR(FIND({"省"},A64),0),IFERROR(FIND({"市"},A64),0),IFERROR(FIND({"区"},A64),0),IFERROR(FIND({"县"},A64),0))-1+2)</f>
        <v>东海街道</v>
      </c>
      <c r="O64" s="4" t="str" cm="1">
        <f t="array" ref="O64">_xlfn.LET(_xlpm.fullText,A64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 s="4" t="str" cm="1">
        <f t="array" ref="Q64">_xlfn.LET(_xlpm.fullText,A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5" spans="1:17">
      <c r="A65" s="3" t="s">
        <v>28</v>
      </c>
      <c r="K65" s="4" t="str" cm="1">
        <f t="array" ref="K65">MID(A65,MAX(IFERROR(FIND({"省","市","区","县"},A65),0))+1,FIND("街道",A65)-MAX(IFERROR(FIND({"省","市","区","县"},A65),0))-1+2)</f>
        <v>东海街道</v>
      </c>
      <c r="M65" s="4" t="str" cm="1">
        <f t="array" ref="M65">MID(A65,MAX(IFERROR(FIND({"省"},A65),0),IFERROR(FIND({"市"},A65),0),IFERROR(FIND({"区"},A65),0),IFERROR(FIND({"县"},A65),0))+1,FIND("街道",A65)-MAX(IFERROR(FIND({"省"},A65),0),IFERROR(FIND({"市"},A65),0),IFERROR(FIND({"区"},A65),0),IFERROR(FIND({"县"},A65),0))-1+2)</f>
        <v>东海街道</v>
      </c>
      <c r="O65" s="4" t="str" cm="1">
        <f t="array" ref="O65">_xlfn.LET(_xlpm.fullText,A65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5" s="4" t="str" cm="1">
        <f t="array" ref="Q65">_xlfn.LET(_xlpm.fullText,A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 spans="1:17">
      <c r="A66" s="3" t="s">
        <v>56</v>
      </c>
      <c r="K66" s="4" t="str" cm="1">
        <f t="array" ref="K66">MID(A66,MAX(IFERROR(FIND({"省","市","区","县"},A66),0))+1,FIND("街道",A66)-MAX(IFERROR(FIND({"省","市","区","县"},A66),0))-1+2)</f>
        <v>湖里街道</v>
      </c>
      <c r="M66" s="4" t="str" cm="1">
        <f t="array" ref="M66">MID(A66,MAX(IFERROR(FIND({"省"},A66),0),IFERROR(FIND({"市"},A66),0),IFERROR(FIND({"区"},A66),0),IFERROR(FIND({"县"},A66),0))+1,FIND("街道",A66)-MAX(IFERROR(FIND({"省"},A66),0),IFERROR(FIND({"市"},A66),0),IFERROR(FIND({"区"},A66),0),IFERROR(FIND({"县"},A66),0))-1+2)</f>
        <v>湖里街道</v>
      </c>
      <c r="O66" s="4" t="str" cm="1">
        <f t="array" ref="O66">_xlfn.LET(_xlpm.fullText,A66,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66" s="4" t="str" cm="1">
        <f t="array" ref="Q66">_xlfn.LET(_xlpm.fullText,A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67" spans="1:17">
      <c r="A67" s="3" t="s">
        <v>54</v>
      </c>
      <c r="K67" s="4" t="str" cm="1">
        <f t="array" ref="K67">MID(A67,MAX(IFERROR(FIND({"省","市","区","县"},A67),0))+1,FIND("街道",A67)-MAX(IFERROR(FIND({"省","市","区","县"},A67),0))-1+2)</f>
        <v>东海街道</v>
      </c>
      <c r="M67" s="4" t="str" cm="1">
        <f t="array" ref="M67">MID(A67,MAX(IFERROR(FIND({"省"},A67),0),IFERROR(FIND({"市"},A67),0),IFERROR(FIND({"区"},A67),0),IFERROR(FIND({"县"},A67),0))+1,FIND("街道",A67)-MAX(IFERROR(FIND({"省"},A67),0),IFERROR(FIND({"市"},A67),0),IFERROR(FIND({"区"},A67),0),IFERROR(FIND({"县"},A67),0))-1+2)</f>
        <v>东海街道</v>
      </c>
      <c r="O67" s="4" t="str" cm="1">
        <f t="array" ref="O67">_xlfn.LET(_xlpm.fullText,A67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7" s="4" t="str" cm="1">
        <f t="array" ref="Q67">_xlfn.LET(_xlpm.fullText,A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8" spans="1:17">
      <c r="A68" s="3" t="s">
        <v>54</v>
      </c>
      <c r="K68" s="4" t="str" cm="1">
        <f t="array" ref="K68">MID(A68,MAX(IFERROR(FIND({"省","市","区","县"},A68),0))+1,FIND("街道",A68)-MAX(IFERROR(FIND({"省","市","区","县"},A68),0))-1+2)</f>
        <v>东海街道</v>
      </c>
      <c r="M68" s="4" t="str" cm="1">
        <f t="array" ref="M68">MID(A68,MAX(IFERROR(FIND({"省"},A68),0),IFERROR(FIND({"市"},A68),0),IFERROR(FIND({"区"},A68),0),IFERROR(FIND({"县"},A68),0))+1,FIND("街道",A68)-MAX(IFERROR(FIND({"省"},A68),0),IFERROR(FIND({"市"},A68),0),IFERROR(FIND({"区"},A68),0),IFERROR(FIND({"县"},A68),0))-1+2)</f>
        <v>东海街道</v>
      </c>
      <c r="O68" s="4" t="str" cm="1">
        <f t="array" ref="O68">_xlfn.LET(_xlpm.fullText,A68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8" s="4" t="str" cm="1">
        <f t="array" ref="Q68">_xlfn.LET(_xlpm.fullText,A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9" spans="1:17">
      <c r="A69" s="3" t="s">
        <v>54</v>
      </c>
      <c r="K69" s="4" t="str" cm="1">
        <f t="array" ref="K69">MID(A69,MAX(IFERROR(FIND({"省","市","区","县"},A69),0))+1,FIND("街道",A69)-MAX(IFERROR(FIND({"省","市","区","县"},A69),0))-1+2)</f>
        <v>东海街道</v>
      </c>
      <c r="M69" s="4" t="str" cm="1">
        <f t="array" ref="M69">MID(A69,MAX(IFERROR(FIND({"省"},A69),0),IFERROR(FIND({"市"},A69),0),IFERROR(FIND({"区"},A69),0),IFERROR(FIND({"县"},A69),0))+1,FIND("街道",A69)-MAX(IFERROR(FIND({"省"},A69),0),IFERROR(FIND({"市"},A69),0),IFERROR(FIND({"区"},A69),0),IFERROR(FIND({"县"},A69),0))-1+2)</f>
        <v>东海街道</v>
      </c>
      <c r="O69" s="4" t="str" cm="1">
        <f t="array" ref="O69">_xlfn.LET(_xlpm.fullText,A69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9" s="4" t="str" cm="1">
        <f t="array" ref="Q69">_xlfn.LET(_xlpm.fullText,A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70" spans="1:17">
      <c r="A70" s="3" t="s">
        <v>57</v>
      </c>
      <c r="K70" s="4" t="str" cm="1">
        <f t="array" ref="K70">MID(A70,MAX(IFERROR(FIND({"省","市","区","县"},A70),0))+1,FIND("街道",A70)-MAX(IFERROR(FIND({"省","市","区","县"},A70),0))-1+2)</f>
        <v>北峰街道</v>
      </c>
      <c r="M70" s="4" t="str" cm="1">
        <f t="array" ref="M70">MID(A70,MAX(IFERROR(FIND({"省"},A70),0),IFERROR(FIND({"市"},A70),0),IFERROR(FIND({"区"},A70),0),IFERROR(FIND({"县"},A70),0))+1,FIND("街道",A70)-MAX(IFERROR(FIND({"省"},A70),0),IFERROR(FIND({"市"},A70),0),IFERROR(FIND({"区"},A70),0),IFERROR(FIND({"县"},A70),0))-1+2)</f>
        <v>北峰街道</v>
      </c>
      <c r="O70" s="4" t="str" cm="1">
        <f t="array" ref="O70">_xlfn.LET(_xlpm.fullText,A70,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70" s="4" t="str" cm="1">
        <f t="array" ref="Q70">_xlfn.LET(_xlpm.fullText,A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71" spans="1:17">
      <c r="A71" s="3" t="s">
        <v>58</v>
      </c>
      <c r="K71" s="4" t="str" cm="1">
        <f t="array" ref="K71">MID(A71,MAX(IFERROR(FIND({"省","市","区","县"},A71),0))+1,FIND("街道",A71)-MAX(IFERROR(FIND({"省","市","区","县"},A71),0))-1+2)</f>
        <v>梧村街道</v>
      </c>
      <c r="M71" s="4" t="str" cm="1">
        <f t="array" ref="M71">MID(A71,MAX(IFERROR(FIND({"省"},A71),0),IFERROR(FIND({"市"},A71),0),IFERROR(FIND({"区"},A71),0),IFERROR(FIND({"县"},A71),0))+1,FIND("街道",A71)-MAX(IFERROR(FIND({"省"},A71),0),IFERROR(FIND({"市"},A71),0),IFERROR(FIND({"区"},A71),0),IFERROR(FIND({"县"},A71),0))-1+2)</f>
        <v>梧村街道</v>
      </c>
      <c r="O71" s="4" t="str" cm="1">
        <f t="array" ref="O71">_xlfn.LET(_xlpm.fullText,A71,_xlpm.streetPos,FIND("街道",_xlpm.fullText)+2,_xlpm.prefixText,LEFT(_xlpm.fullText,_xlpm.streetPos-1),_xlpm.adminPos,MAX(IFERROR(FIND({"省","市","区","县"},_xlpm.prefixText),0)),IF(_xlpm.adminPos&gt;0,MID(_xlpm.prefixText,_xlpm.adminPos+1,_xlpm.streetPos-_xlpm.adminPos-3+2),LEFT(_xlpm.prefixText,FIND("街道",_xlpm.prefixText)-1+2)))</f>
        <v>梧村街道</v>
      </c>
      <c r="Q71" s="4" t="str" cm="1">
        <f t="array" ref="Q71">_xlfn.LET(_xlpm.fullText,A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梧村街道</v>
      </c>
    </row>
    <row r="72" spans="1:17">
      <c r="A72" s="3" t="s">
        <v>28</v>
      </c>
      <c r="K72" s="4" t="str" cm="1">
        <f t="array" ref="K72">MID(A72,MAX(IFERROR(FIND({"省","市","区","县"},A72),0))+1,FIND("街道",A72)-MAX(IFERROR(FIND({"省","市","区","县"},A72),0))-1+2)</f>
        <v>东海街道</v>
      </c>
      <c r="M72" s="4" t="str" cm="1">
        <f t="array" ref="M72">MID(A72,MAX(IFERROR(FIND({"省"},A72),0),IFERROR(FIND({"市"},A72),0),IFERROR(FIND({"区"},A72),0),IFERROR(FIND({"县"},A72),0))+1,FIND("街道",A72)-MAX(IFERROR(FIND({"省"},A72),0),IFERROR(FIND({"市"},A72),0),IFERROR(FIND({"区"},A72),0),IFERROR(FIND({"县"},A72),0))-1+2)</f>
        <v>东海街道</v>
      </c>
      <c r="O72" s="4" t="str" cm="1">
        <f t="array" ref="O72">_xlfn.LET(_xlpm.fullText,A72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72" s="4" t="str" cm="1">
        <f t="array" ref="Q72">_xlfn.LET(_xlpm.fullText,A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73" spans="1:17">
      <c r="A73" s="3" t="s">
        <v>59</v>
      </c>
      <c r="K73" s="4" t="str" cm="1">
        <f t="array" ref="K73">MID(A73,MAX(IFERROR(FIND({"省","市","区","县"},A73),0))+1,FIND("街道",A73)-MAX(IFERROR(FIND({"省","市","区","县"},A73),0))-1+2)</f>
        <v>长淮街道</v>
      </c>
      <c r="M73" s="4" t="str" cm="1">
        <f t="array" ref="M73">MID(A73,MAX(IFERROR(FIND({"省"},A73),0),IFERROR(FIND({"市"},A73),0),IFERROR(FIND({"区"},A73),0),IFERROR(FIND({"县"},A73),0))+1,FIND("街道",A73)-MAX(IFERROR(FIND({"省"},A73),0),IFERROR(FIND({"市"},A73),0),IFERROR(FIND({"区"},A73),0),IFERROR(FIND({"县"},A73),0))-1+2)</f>
        <v>长淮街道</v>
      </c>
      <c r="O73" s="4" t="str" cm="1">
        <f t="array" ref="O73">_xlfn.LET(_xlpm.fullText,A73,_xlpm.streetPos,FIND("街道",_xlpm.fullText)+2,_xlpm.prefixText,LEFT(_xlpm.fullText,_xlpm.streetPos-1),_xlpm.adminPos,MAX(IFERROR(FIND({"省","市","区","县"},_xlpm.prefixText),0)),IF(_xlpm.adminPos&gt;0,MID(_xlpm.prefixText,_xlpm.adminPos+1,_xlpm.streetPos-_xlpm.adminPos-3+2),LEFT(_xlpm.prefixText,FIND("街道",_xlpm.prefixText)-1+2)))</f>
        <v>长淮街道</v>
      </c>
      <c r="Q73" s="4" t="str" cm="1">
        <f t="array" ref="Q73">_xlfn.LET(_xlpm.fullText,A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长淮街道</v>
      </c>
    </row>
    <row r="74" spans="1:17">
      <c r="A74" s="3" t="s">
        <v>60</v>
      </c>
      <c r="K74" s="4" t="str" cm="1">
        <f t="array" ref="K74">MID(A74,MAX(IFERROR(FIND({"省","市","区","县"},A74),0))+1,FIND("街道",A74)-MAX(IFERROR(FIND({"省","市","区","县"},A74),0))-1+2)</f>
        <v>常青街道</v>
      </c>
      <c r="M74" s="4" t="str" cm="1">
        <f t="array" ref="M74">MID(A74,MAX(IFERROR(FIND({"省"},A74),0),IFERROR(FIND({"市"},A74),0),IFERROR(FIND({"区"},A74),0),IFERROR(FIND({"县"},A74),0))+1,FIND("街道",A74)-MAX(IFERROR(FIND({"省"},A74),0),IFERROR(FIND({"市"},A74),0),IFERROR(FIND({"区"},A74),0),IFERROR(FIND({"县"},A74),0))-1+2)</f>
        <v>常青街道</v>
      </c>
      <c r="O74" s="4" t="str" cm="1">
        <f t="array" ref="O74">_xlfn.LET(_xlpm.fullText,A74,_xlpm.streetPos,FIND("街道",_xlpm.fullText)+2,_xlpm.prefixText,LEFT(_xlpm.fullText,_xlpm.streetPos-1),_xlpm.adminPos,MAX(IFERROR(FIND({"省","市","区","县"},_xlpm.prefixText),0)),IF(_xlpm.adminPos&gt;0,MID(_xlpm.prefixText,_xlpm.adminPos+1,_xlpm.streetPos-_xlpm.adminPos-3+2),LEFT(_xlpm.prefixText,FIND("街道",_xlpm.prefixText)-1+2)))</f>
        <v>常青街道</v>
      </c>
      <c r="Q74" s="4" t="str" cm="1">
        <f t="array" ref="Q74">_xlfn.LET(_xlpm.fullText,A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常青街道</v>
      </c>
    </row>
    <row r="75" spans="1:17">
      <c r="A75" s="3" t="s">
        <v>54</v>
      </c>
      <c r="K75" s="4" t="str" cm="1">
        <f t="array" ref="K75">MID(A75,MAX(IFERROR(FIND({"省","市","区","县"},A75),0))+1,FIND("街道",A75)-MAX(IFERROR(FIND({"省","市","区","县"},A75),0))-1+2)</f>
        <v>东海街道</v>
      </c>
      <c r="M75" s="4" t="str" cm="1">
        <f t="array" ref="M75">MID(A75,MAX(IFERROR(FIND({"省"},A75),0),IFERROR(FIND({"市"},A75),0),IFERROR(FIND({"区"},A75),0),IFERROR(FIND({"县"},A75),0))+1,FIND("街道",A75)-MAX(IFERROR(FIND({"省"},A75),0),IFERROR(FIND({"市"},A75),0),IFERROR(FIND({"区"},A75),0),IFERROR(FIND({"县"},A75),0))-1+2)</f>
        <v>东海街道</v>
      </c>
      <c r="O75" s="4" t="str" cm="1">
        <f t="array" ref="O75">_xlfn.LET(_xlpm.fullText,A75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75" s="4" t="str" cm="1">
        <f t="array" ref="Q75">_xlfn.LET(_xlpm.fullText,A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76" spans="1:17">
      <c r="A76" s="3" t="s">
        <v>61</v>
      </c>
      <c r="K76" s="4" t="str" cm="1">
        <f t="array" ref="K76">MID(A76,MAX(IFERROR(FIND({"省","市","区","县"},A76),0))+1,FIND("街道",A76)-MAX(IFERROR(FIND({"省","市","区","县"},A76),0))-1+2)</f>
        <v>杏林街道</v>
      </c>
      <c r="M76" s="4" t="str" cm="1">
        <f t="array" ref="M76">MID(A76,MAX(IFERROR(FIND({"省"},A76),0),IFERROR(FIND({"市"},A76),0),IFERROR(FIND({"区"},A76),0),IFERROR(FIND({"县"},A76),0))+1,FIND("街道",A76)-MAX(IFERROR(FIND({"省"},A76),0),IFERROR(FIND({"市"},A76),0),IFERROR(FIND({"区"},A76),0),IFERROR(FIND({"县"},A76),0))-1+2)</f>
        <v>杏林街道</v>
      </c>
      <c r="O76" s="4" t="str" cm="1">
        <f t="array" ref="O76">_xlfn.LET(_xlpm.fullText,A76,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76" s="4" t="str" cm="1">
        <f t="array" ref="Q76">_xlfn.LET(_xlpm.fullText,A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77" spans="1:17">
      <c r="A77" s="3" t="s">
        <v>28</v>
      </c>
      <c r="K77" s="4" t="str" cm="1">
        <f t="array" ref="K77">MID(A77,MAX(IFERROR(FIND({"省","市","区","县"},A77),0))+1,FIND("街道",A77)-MAX(IFERROR(FIND({"省","市","区","县"},A77),0))-1+2)</f>
        <v>东海街道</v>
      </c>
      <c r="M77" s="4" t="str" cm="1">
        <f t="array" ref="M77">MID(A77,MAX(IFERROR(FIND({"省"},A77),0),IFERROR(FIND({"市"},A77),0),IFERROR(FIND({"区"},A77),0),IFERROR(FIND({"县"},A77),0))+1,FIND("街道",A77)-MAX(IFERROR(FIND({"省"},A77),0),IFERROR(FIND({"市"},A77),0),IFERROR(FIND({"区"},A77),0),IFERROR(FIND({"县"},A77),0))-1+2)</f>
        <v>东海街道</v>
      </c>
      <c r="O77" s="4" t="str" cm="1">
        <f t="array" ref="O77">_xlfn.LET(_xlpm.fullText,A77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77" s="4" t="str" cm="1">
        <f t="array" ref="Q77">_xlfn.LET(_xlpm.fullText,A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78" spans="1:17">
      <c r="A78" s="3" t="s">
        <v>28</v>
      </c>
      <c r="K78" s="4" t="str" cm="1">
        <f t="array" ref="K78">MID(A78,MAX(IFERROR(FIND({"省","市","区","县"},A78),0))+1,FIND("街道",A78)-MAX(IFERROR(FIND({"省","市","区","县"},A78),0))-1+2)</f>
        <v>东海街道</v>
      </c>
      <c r="M78" s="4" t="str" cm="1">
        <f t="array" ref="M78">MID(A78,MAX(IFERROR(FIND({"省"},A78),0),IFERROR(FIND({"市"},A78),0),IFERROR(FIND({"区"},A78),0),IFERROR(FIND({"县"},A78),0))+1,FIND("街道",A78)-MAX(IFERROR(FIND({"省"},A78),0),IFERROR(FIND({"市"},A78),0),IFERROR(FIND({"区"},A78),0),IFERROR(FIND({"县"},A78),0))-1+2)</f>
        <v>东海街道</v>
      </c>
      <c r="O78" s="4" t="str" cm="1">
        <f t="array" ref="O78">_xlfn.LET(_xlpm.fullText,A78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78" s="4" t="str" cm="1">
        <f t="array" ref="Q78">_xlfn.LET(_xlpm.fullText,A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79" spans="1:17">
      <c r="A79" s="3" t="s">
        <v>62</v>
      </c>
      <c r="K79" s="4" t="str" cm="1">
        <f t="array" ref="K79">MID(A79,MAX(IFERROR(FIND({"省","市","区","县"},A79),0))+1,FIND("街道",A79)-MAX(IFERROR(FIND({"省","市","区","县"},A79),0))-1+2)</f>
        <v>禾山街道</v>
      </c>
      <c r="M79" s="4" t="str" cm="1">
        <f t="array" ref="M79">MID(A79,MAX(IFERROR(FIND({"省"},A79),0),IFERROR(FIND({"市"},A79),0),IFERROR(FIND({"区"},A79),0),IFERROR(FIND({"县"},A79),0))+1,FIND("街道",A79)-MAX(IFERROR(FIND({"省"},A79),0),IFERROR(FIND({"市"},A79),0),IFERROR(FIND({"区"},A79),0),IFERROR(FIND({"县"},A79),0))-1+2)</f>
        <v>禾山街道</v>
      </c>
      <c r="O79" s="4" t="str" cm="1">
        <f t="array" ref="O79">_xlfn.LET(_xlpm.fullText,A79,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79" s="4" t="str" cm="1">
        <f t="array" ref="Q79">_xlfn.LET(_xlpm.fullText,A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80" spans="1:17">
      <c r="A80" s="3" t="s">
        <v>57</v>
      </c>
      <c r="K80" s="4" t="str" cm="1">
        <f t="array" ref="K80">MID(A80,MAX(IFERROR(FIND({"省","市","区","县"},A80),0))+1,FIND("街道",A80)-MAX(IFERROR(FIND({"省","市","区","县"},A80),0))-1+2)</f>
        <v>北峰街道</v>
      </c>
      <c r="M80" s="4" t="str" cm="1">
        <f t="array" ref="M80">MID(A80,MAX(IFERROR(FIND({"省"},A80),0),IFERROR(FIND({"市"},A80),0),IFERROR(FIND({"区"},A80),0),IFERROR(FIND({"县"},A80),0))+1,FIND("街道",A80)-MAX(IFERROR(FIND({"省"},A80),0),IFERROR(FIND({"市"},A80),0),IFERROR(FIND({"区"},A80),0),IFERROR(FIND({"县"},A80),0))-1+2)</f>
        <v>北峰街道</v>
      </c>
      <c r="O80" s="4" t="str" cm="1">
        <f t="array" ref="O80">_xlfn.LET(_xlpm.fullText,A80,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80" s="4" t="str" cm="1">
        <f t="array" ref="Q80">_xlfn.LET(_xlpm.fullText,A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81" spans="1:17">
      <c r="A81" s="3" t="s">
        <v>63</v>
      </c>
      <c r="K81" s="4" t="str" cm="1">
        <f t="array" ref="K81">MID(A81,MAX(IFERROR(FIND({"省","市","区","县"},A81),0))+1,FIND("街道",A81)-MAX(IFERROR(FIND({"省","市","区","县"},A81),0))-1+2)</f>
        <v>杏林街道</v>
      </c>
      <c r="M81" s="4" t="str" cm="1">
        <f t="array" ref="M81">MID(A81,MAX(IFERROR(FIND({"省"},A81),0),IFERROR(FIND({"市"},A81),0),IFERROR(FIND({"区"},A81),0),IFERROR(FIND({"县"},A81),0))+1,FIND("街道",A81)-MAX(IFERROR(FIND({"省"},A81),0),IFERROR(FIND({"市"},A81),0),IFERROR(FIND({"区"},A81),0),IFERROR(FIND({"县"},A81),0))-1+2)</f>
        <v>杏林街道</v>
      </c>
      <c r="O81" s="4" t="str" cm="1">
        <f t="array" ref="O81">_xlfn.LET(_xlpm.fullText,A81,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81" s="4" t="str" cm="1">
        <f t="array" ref="Q81">_xlfn.LET(_xlpm.fullText,A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82" spans="1:17">
      <c r="A82" s="3" t="s">
        <v>26</v>
      </c>
      <c r="K82" s="4" t="str" cm="1">
        <f t="array" ref="K82">MID(A82,MAX(IFERROR(FIND({"省","市","区","县"},A82),0))+1,FIND("街道",A82)-MAX(IFERROR(FIND({"省","市","区","县"},A82),0))-1+2)</f>
        <v>城东街道</v>
      </c>
      <c r="M82" s="4" t="str" cm="1">
        <f t="array" ref="M82">MID(A82,MAX(IFERROR(FIND({"省"},A82),0),IFERROR(FIND({"市"},A82),0),IFERROR(FIND({"区"},A82),0),IFERROR(FIND({"县"},A82),0))+1,FIND("街道",A82)-MAX(IFERROR(FIND({"省"},A82),0),IFERROR(FIND({"市"},A82),0),IFERROR(FIND({"区"},A82),0),IFERROR(FIND({"县"},A82),0))-1+2)</f>
        <v>城东街道</v>
      </c>
      <c r="O82" s="4" t="str" cm="1">
        <f t="array" ref="O82">_xlfn.LET(_xlpm.fullText,A82,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82" s="4" t="str" cm="1">
        <f t="array" ref="Q82">_xlfn.LET(_xlpm.fullText,A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83" spans="1:17">
      <c r="A83" s="3" t="s">
        <v>27</v>
      </c>
      <c r="K83" s="4" t="str" cm="1">
        <f t="array" ref="K83">MID(A83,MAX(IFERROR(FIND({"省","市","区","县"},A83),0))+1,FIND("街道",A83)-MAX(IFERROR(FIND({"省","市","区","县"},A83),0))-1+2)</f>
        <v>东海街道</v>
      </c>
      <c r="M83" s="4" t="str" cm="1">
        <f t="array" ref="M83">MID(A83,MAX(IFERROR(FIND({"省"},A83),0),IFERROR(FIND({"市"},A83),0),IFERROR(FIND({"区"},A83),0),IFERROR(FIND({"县"},A83),0))+1,FIND("街道",A83)-MAX(IFERROR(FIND({"省"},A83),0),IFERROR(FIND({"市"},A83),0),IFERROR(FIND({"区"},A83),0),IFERROR(FIND({"县"},A83),0))-1+2)</f>
        <v>东海街道</v>
      </c>
      <c r="O83" s="4" t="str" cm="1">
        <f t="array" ref="O83">_xlfn.LET(_xlpm.fullText,A83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3" s="4" t="str" cm="1">
        <f t="array" ref="Q83">_xlfn.LET(_xlpm.fullText,A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84" spans="1:17">
      <c r="A84" s="3" t="s">
        <v>27</v>
      </c>
      <c r="K84" s="4" t="str" cm="1">
        <f t="array" ref="K84">MID(A84,MAX(IFERROR(FIND({"省","市","区","县"},A84),0))+1,FIND("街道",A84)-MAX(IFERROR(FIND({"省","市","区","县"},A84),0))-1+2)</f>
        <v>东海街道</v>
      </c>
      <c r="M84" s="4" t="str" cm="1">
        <f t="array" ref="M84">MID(A84,MAX(IFERROR(FIND({"省"},A84),0),IFERROR(FIND({"市"},A84),0),IFERROR(FIND({"区"},A84),0),IFERROR(FIND({"县"},A84),0))+1,FIND("街道",A84)-MAX(IFERROR(FIND({"省"},A84),0),IFERROR(FIND({"市"},A84),0),IFERROR(FIND({"区"},A84),0),IFERROR(FIND({"县"},A84),0))-1+2)</f>
        <v>东海街道</v>
      </c>
      <c r="O84" s="4" t="str" cm="1">
        <f t="array" ref="O84">_xlfn.LET(_xlpm.fullText,A84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4" s="4" t="str" cm="1">
        <f t="array" ref="Q84">_xlfn.LET(_xlpm.fullText,A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85" spans="1:17">
      <c r="A85" s="3" t="s">
        <v>25</v>
      </c>
      <c r="K85" s="4" t="str" cm="1">
        <f t="array" ref="K85">MID(A85,MAX(IFERROR(FIND({"省","市","区","县"},A85),0))+1,FIND("街道",A85)-MAX(IFERROR(FIND({"省","市","区","县"},A85),0))-1+2)</f>
        <v>东海街道</v>
      </c>
      <c r="M85" s="4" t="str" cm="1">
        <f t="array" ref="M85">MID(A85,MAX(IFERROR(FIND({"省"},A85),0),IFERROR(FIND({"市"},A85),0),IFERROR(FIND({"区"},A85),0),IFERROR(FIND({"县"},A85),0))+1,FIND("街道",A85)-MAX(IFERROR(FIND({"省"},A85),0),IFERROR(FIND({"市"},A85),0),IFERROR(FIND({"区"},A85),0),IFERROR(FIND({"县"},A85),0))-1+2)</f>
        <v>东海街道</v>
      </c>
      <c r="O85" s="4" t="str" cm="1">
        <f t="array" ref="O85">_xlfn.LET(_xlpm.fullText,A85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5" s="4" t="str" cm="1">
        <f t="array" ref="Q85">_xlfn.LET(_xlpm.fullText,A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86" spans="1:17">
      <c r="A86" s="3" t="s">
        <v>27</v>
      </c>
      <c r="K86" s="4" t="str" cm="1">
        <f t="array" ref="K86">MID(A86,MAX(IFERROR(FIND({"省","市","区","县"},A86),0))+1,FIND("街道",A86)-MAX(IFERROR(FIND({"省","市","区","县"},A86),0))-1+2)</f>
        <v>东海街道</v>
      </c>
      <c r="M86" s="4" t="str" cm="1">
        <f t="array" ref="M86">MID(A86,MAX(IFERROR(FIND({"省"},A86),0),IFERROR(FIND({"市"},A86),0),IFERROR(FIND({"区"},A86),0),IFERROR(FIND({"县"},A86),0))+1,FIND("街道",A86)-MAX(IFERROR(FIND({"省"},A86),0),IFERROR(FIND({"市"},A86),0),IFERROR(FIND({"区"},A86),0),IFERROR(FIND({"县"},A86),0))-1+2)</f>
        <v>东海街道</v>
      </c>
      <c r="O86" s="4" t="str" cm="1">
        <f t="array" ref="O86">_xlfn.LET(_xlpm.fullText,A86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6" s="4" t="str" cm="1">
        <f t="array" ref="Q86">_xlfn.LET(_xlpm.fullText,A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87" spans="1:17">
      <c r="A87" s="3" t="s">
        <v>27</v>
      </c>
      <c r="K87" s="4" t="str" cm="1">
        <f t="array" ref="K87">MID(A87,MAX(IFERROR(FIND({"省","市","区","县"},A87),0))+1,FIND("街道",A87)-MAX(IFERROR(FIND({"省","市","区","县"},A87),0))-1+2)</f>
        <v>东海街道</v>
      </c>
      <c r="M87" s="4" t="str" cm="1">
        <f t="array" ref="M87">MID(A87,MAX(IFERROR(FIND({"省"},A87),0),IFERROR(FIND({"市"},A87),0),IFERROR(FIND({"区"},A87),0),IFERROR(FIND({"县"},A87),0))+1,FIND("街道",A87)-MAX(IFERROR(FIND({"省"},A87),0),IFERROR(FIND({"市"},A87),0),IFERROR(FIND({"区"},A87),0),IFERROR(FIND({"县"},A87),0))-1+2)</f>
        <v>东海街道</v>
      </c>
      <c r="O87" s="4" t="str" cm="1">
        <f t="array" ref="O87">_xlfn.LET(_xlpm.fullText,A87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7" s="4" t="str" cm="1">
        <f t="array" ref="Q87">_xlfn.LET(_xlpm.fullText,A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88" spans="1:17">
      <c r="A88" s="3" t="s">
        <v>64</v>
      </c>
      <c r="K88" s="4" t="str" cm="1">
        <f t="array" ref="K88">MID(A88,MAX(IFERROR(FIND({"省","市","区","县"},A88),0))+1,FIND("街道",A88)-MAX(IFERROR(FIND({"省","市","区","县"},A88),0))-1+2)</f>
        <v>常青街道</v>
      </c>
      <c r="M88" s="4" t="str" cm="1">
        <f t="array" ref="M88">MID(A88,MAX(IFERROR(FIND({"省"},A88),0),IFERROR(FIND({"市"},A88),0),IFERROR(FIND({"区"},A88),0),IFERROR(FIND({"县"},A88),0))+1,FIND("街道",A88)-MAX(IFERROR(FIND({"省"},A88),0),IFERROR(FIND({"市"},A88),0),IFERROR(FIND({"区"},A88),0),IFERROR(FIND({"县"},A88),0))-1+2)</f>
        <v>常青街道</v>
      </c>
      <c r="O88" s="4" t="str" cm="1">
        <f t="array" ref="O88">_xlfn.LET(_xlpm.fullText,A88,_xlpm.streetPos,FIND("街道",_xlpm.fullText)+2,_xlpm.prefixText,LEFT(_xlpm.fullText,_xlpm.streetPos-1),_xlpm.adminPos,MAX(IFERROR(FIND({"省","市","区","县"},_xlpm.prefixText),0)),IF(_xlpm.adminPos&gt;0,MID(_xlpm.prefixText,_xlpm.adminPos+1,_xlpm.streetPos-_xlpm.adminPos-3+2),LEFT(_xlpm.prefixText,FIND("街道",_xlpm.prefixText)-1+2)))</f>
        <v>常青街道</v>
      </c>
      <c r="Q88" s="4" t="str" cm="1">
        <f t="array" ref="Q88">_xlfn.LET(_xlpm.fullText,A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常青街道</v>
      </c>
    </row>
    <row r="89" spans="1:17">
      <c r="A89" s="3" t="s">
        <v>65</v>
      </c>
      <c r="K89" s="4" t="str" cm="1">
        <f t="array" ref="K89">MID(A89,MAX(IFERROR(FIND({"省","市","区","县"},A89),0))+1,FIND("街道",A89)-MAX(IFERROR(FIND({"省","市","区","县"},A89),0))-1+2)</f>
        <v>友新街道</v>
      </c>
      <c r="M89" s="4" t="str" cm="1">
        <f t="array" ref="M89">MID(A89,MAX(IFERROR(FIND({"省"},A89),0),IFERROR(FIND({"市"},A89),0),IFERROR(FIND({"区"},A89),0),IFERROR(FIND({"县"},A89),0))+1,FIND("街道",A89)-MAX(IFERROR(FIND({"省"},A89),0),IFERROR(FIND({"市"},A89),0),IFERROR(FIND({"区"},A89),0),IFERROR(FIND({"县"},A89),0))-1+2)</f>
        <v>友新街道</v>
      </c>
      <c r="O89" s="4" t="str" cm="1">
        <f t="array" ref="O89">_xlfn.LET(_xlpm.fullText,A89,_xlpm.streetPos,FIND("街道",_xlpm.fullText)+2,_xlpm.prefixText,LEFT(_xlpm.fullText,_xlpm.streetPos-1),_xlpm.adminPos,MAX(IFERROR(FIND({"省","市","区","县"},_xlpm.prefixText),0)),IF(_xlpm.adminPos&gt;0,MID(_xlpm.prefixText,_xlpm.adminPos+1,_xlpm.streetPos-_xlpm.adminPos-3+2),LEFT(_xlpm.prefixText,FIND("街道",_xlpm.prefixText)-1+2)))</f>
        <v>友新街道</v>
      </c>
      <c r="Q89" s="4" t="str" cm="1">
        <f t="array" ref="Q89">_xlfn.LET(_xlpm.fullText,A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友新街道</v>
      </c>
    </row>
    <row r="90" spans="1:17">
      <c r="A90" s="3" t="s">
        <v>66</v>
      </c>
      <c r="K90" s="4" t="str" cm="1">
        <f t="array" ref="K90">MID(A90,MAX(IFERROR(FIND({"省","市","区","县"},A90),0))+1,FIND("街道",A90)-MAX(IFERROR(FIND({"省","市","区","县"},A90),0))-1+2)</f>
        <v>苏锦街道</v>
      </c>
      <c r="M90" s="4" t="str" cm="1">
        <f t="array" ref="M90">MID(A90,MAX(IFERROR(FIND({"省"},A90),0),IFERROR(FIND({"市"},A90),0),IFERROR(FIND({"区"},A90),0),IFERROR(FIND({"县"},A90),0))+1,FIND("街道",A90)-MAX(IFERROR(FIND({"省"},A90),0),IFERROR(FIND({"市"},A90),0),IFERROR(FIND({"区"},A90),0),IFERROR(FIND({"县"},A90),0))-1+2)</f>
        <v>苏锦街道</v>
      </c>
      <c r="O90" s="4" t="str" cm="1">
        <f t="array" ref="O90">_xlfn.LET(_xlpm.fullText,A90,_xlpm.streetPos,FIND("街道",_xlpm.fullText)+2,_xlpm.prefixText,LEFT(_xlpm.fullText,_xlpm.streetPos-1),_xlpm.adminPos,MAX(IFERROR(FIND({"省","市","区","县"},_xlpm.prefixText),0)),IF(_xlpm.adminPos&gt;0,MID(_xlpm.prefixText,_xlpm.adminPos+1,_xlpm.streetPos-_xlpm.adminPos-3+2),LEFT(_xlpm.prefixText,FIND("街道",_xlpm.prefixText)-1+2)))</f>
        <v>苏锦街道</v>
      </c>
      <c r="Q90" s="4" t="str" cm="1">
        <f t="array" ref="Q90">_xlfn.LET(_xlpm.fullText,A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苏锦街道</v>
      </c>
    </row>
    <row r="91" spans="1:17">
      <c r="A91" s="3" t="s">
        <v>67</v>
      </c>
      <c r="K91" s="4" t="str" cm="1">
        <f t="array" ref="K91">MID(A91,MAX(IFERROR(FIND({"省","市","区","县"},A91),0))+1,FIND("街道",A91)-MAX(IFERROR(FIND({"省","市","区","县"},A91),0))-1+2)</f>
        <v>常青街道</v>
      </c>
      <c r="M91" s="4" t="str" cm="1">
        <f t="array" ref="M91">MID(A91,MAX(IFERROR(FIND({"省"},A91),0),IFERROR(FIND({"市"},A91),0),IFERROR(FIND({"区"},A91),0),IFERROR(FIND({"县"},A91),0))+1,FIND("街道",A91)-MAX(IFERROR(FIND({"省"},A91),0),IFERROR(FIND({"市"},A91),0),IFERROR(FIND({"区"},A91),0),IFERROR(FIND({"县"},A91),0))-1+2)</f>
        <v>常青街道</v>
      </c>
      <c r="O91" s="4" t="str" cm="1">
        <f t="array" ref="O91">_xlfn.LET(_xlpm.fullText,A91,_xlpm.streetPos,FIND("街道",_xlpm.fullText)+2,_xlpm.prefixText,LEFT(_xlpm.fullText,_xlpm.streetPos-1),_xlpm.adminPos,MAX(IFERROR(FIND({"省","市","区","县"},_xlpm.prefixText),0)),IF(_xlpm.adminPos&gt;0,MID(_xlpm.prefixText,_xlpm.adminPos+1,_xlpm.streetPos-_xlpm.adminPos-3+2),LEFT(_xlpm.prefixText,FIND("街道",_xlpm.prefixText)-1+2)))</f>
        <v>常青街道</v>
      </c>
      <c r="Q91" s="4" t="str" cm="1">
        <f t="array" ref="Q91">_xlfn.LET(_xlpm.fullText,A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常青街道</v>
      </c>
    </row>
    <row r="92" spans="1:17">
      <c r="A92" s="3" t="s">
        <v>27</v>
      </c>
      <c r="K92" s="4" t="str" cm="1">
        <f t="array" ref="K92">MID(A92,MAX(IFERROR(FIND({"省","市","区","县"},A92),0))+1,FIND("街道",A92)-MAX(IFERROR(FIND({"省","市","区","县"},A92),0))-1+2)</f>
        <v>东海街道</v>
      </c>
      <c r="M92" s="4" t="str" cm="1">
        <f t="array" ref="M92">MID(A92,MAX(IFERROR(FIND({"省"},A92),0),IFERROR(FIND({"市"},A92),0),IFERROR(FIND({"区"},A92),0),IFERROR(FIND({"县"},A92),0))+1,FIND("街道",A92)-MAX(IFERROR(FIND({"省"},A92),0),IFERROR(FIND({"市"},A92),0),IFERROR(FIND({"区"},A92),0),IFERROR(FIND({"县"},A92),0))-1+2)</f>
        <v>东海街道</v>
      </c>
      <c r="O92" s="4" t="str" cm="1">
        <f t="array" ref="O92">_xlfn.LET(_xlpm.fullText,A92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2" s="4" t="str" cm="1">
        <f t="array" ref="Q92">_xlfn.LET(_xlpm.fullText,A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3" spans="1:17">
      <c r="A93" s="3" t="s">
        <v>27</v>
      </c>
      <c r="K93" s="4" t="str" cm="1">
        <f t="array" ref="K93">MID(A93,MAX(IFERROR(FIND({"省","市","区","县"},A93),0))+1,FIND("街道",A93)-MAX(IFERROR(FIND({"省","市","区","县"},A93),0))-1+2)</f>
        <v>东海街道</v>
      </c>
      <c r="M93" s="4" t="str" cm="1">
        <f t="array" ref="M93">MID(A93,MAX(IFERROR(FIND({"省"},A93),0),IFERROR(FIND({"市"},A93),0),IFERROR(FIND({"区"},A93),0),IFERROR(FIND({"县"},A93),0))+1,FIND("街道",A93)-MAX(IFERROR(FIND({"省"},A93),0),IFERROR(FIND({"市"},A93),0),IFERROR(FIND({"区"},A93),0),IFERROR(FIND({"县"},A93),0))-1+2)</f>
        <v>东海街道</v>
      </c>
      <c r="O93" s="4" t="str" cm="1">
        <f t="array" ref="O93">_xlfn.LET(_xlpm.fullText,A93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3" s="4" t="str" cm="1">
        <f t="array" ref="Q93">_xlfn.LET(_xlpm.fullText,A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4" spans="1:17">
      <c r="A94" s="3" t="s">
        <v>27</v>
      </c>
      <c r="K94" s="4" t="str" cm="1">
        <f t="array" ref="K94">MID(A94,MAX(IFERROR(FIND({"省","市","区","县"},A94),0))+1,FIND("街道",A94)-MAX(IFERROR(FIND({"省","市","区","县"},A94),0))-1+2)</f>
        <v>东海街道</v>
      </c>
      <c r="M94" s="4" t="str" cm="1">
        <f t="array" ref="M94">MID(A94,MAX(IFERROR(FIND({"省"},A94),0),IFERROR(FIND({"市"},A94),0),IFERROR(FIND({"区"},A94),0),IFERROR(FIND({"县"},A94),0))+1,FIND("街道",A94)-MAX(IFERROR(FIND({"省"},A94),0),IFERROR(FIND({"市"},A94),0),IFERROR(FIND({"区"},A94),0),IFERROR(FIND({"县"},A94),0))-1+2)</f>
        <v>东海街道</v>
      </c>
      <c r="O94" s="4" t="str" cm="1">
        <f t="array" ref="O94">_xlfn.LET(_xlpm.fullText,A94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4" s="4" t="str" cm="1">
        <f t="array" ref="Q94">_xlfn.LET(_xlpm.fullText,A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5" spans="1:17">
      <c r="A95" s="3" t="s">
        <v>27</v>
      </c>
      <c r="K95" s="4" t="str" cm="1">
        <f t="array" ref="K95">MID(A95,MAX(IFERROR(FIND({"省","市","区","县"},A95),0))+1,FIND("街道",A95)-MAX(IFERROR(FIND({"省","市","区","县"},A95),0))-1+2)</f>
        <v>东海街道</v>
      </c>
      <c r="M95" s="4" t="str" cm="1">
        <f t="array" ref="M95">MID(A95,MAX(IFERROR(FIND({"省"},A95),0),IFERROR(FIND({"市"},A95),0),IFERROR(FIND({"区"},A95),0),IFERROR(FIND({"县"},A95),0))+1,FIND("街道",A95)-MAX(IFERROR(FIND({"省"},A95),0),IFERROR(FIND({"市"},A95),0),IFERROR(FIND({"区"},A95),0),IFERROR(FIND({"县"},A95),0))-1+2)</f>
        <v>东海街道</v>
      </c>
      <c r="O95" s="4" t="str" cm="1">
        <f t="array" ref="O95">_xlfn.LET(_xlpm.fullText,A95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5" s="4" t="str" cm="1">
        <f t="array" ref="Q95">_xlfn.LET(_xlpm.fullText,A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6" spans="1:17">
      <c r="A96" s="3" t="s">
        <v>27</v>
      </c>
      <c r="K96" s="4" t="str" cm="1">
        <f t="array" ref="K96">MID(A96,MAX(IFERROR(FIND({"省","市","区","县"},A96),0))+1,FIND("街道",A96)-MAX(IFERROR(FIND({"省","市","区","县"},A96),0))-1+2)</f>
        <v>东海街道</v>
      </c>
      <c r="M96" s="4" t="str" cm="1">
        <f t="array" ref="M96">MID(A96,MAX(IFERROR(FIND({"省"},A96),0),IFERROR(FIND({"市"},A96),0),IFERROR(FIND({"区"},A96),0),IFERROR(FIND({"县"},A96),0))+1,FIND("街道",A96)-MAX(IFERROR(FIND({"省"},A96),0),IFERROR(FIND({"市"},A96),0),IFERROR(FIND({"区"},A96),0),IFERROR(FIND({"县"},A96),0))-1+2)</f>
        <v>东海街道</v>
      </c>
      <c r="O96" s="4" t="str" cm="1">
        <f t="array" ref="O96">_xlfn.LET(_xlpm.fullText,A96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6" s="4" t="str" cm="1">
        <f t="array" ref="Q96">_xlfn.LET(_xlpm.fullText,A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7" spans="1:17">
      <c r="A97" s="3" t="s">
        <v>28</v>
      </c>
      <c r="K97" s="4" t="str" cm="1">
        <f t="array" ref="K97">MID(A97,MAX(IFERROR(FIND({"省","市","区","县"},A97),0))+1,FIND("街道",A97)-MAX(IFERROR(FIND({"省","市","区","县"},A97),0))-1+2)</f>
        <v>东海街道</v>
      </c>
      <c r="M97" s="4" t="str" cm="1">
        <f t="array" ref="M97">MID(A97,MAX(IFERROR(FIND({"省"},A97),0),IFERROR(FIND({"市"},A97),0),IFERROR(FIND({"区"},A97),0),IFERROR(FIND({"县"},A97),0))+1,FIND("街道",A97)-MAX(IFERROR(FIND({"省"},A97),0),IFERROR(FIND({"市"},A97),0),IFERROR(FIND({"区"},A97),0),IFERROR(FIND({"县"},A97),0))-1+2)</f>
        <v>东海街道</v>
      </c>
      <c r="O97" s="4" t="str" cm="1">
        <f t="array" ref="O97">_xlfn.LET(_xlpm.fullText,A97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97" s="4" t="str" cm="1">
        <f t="array" ref="Q97">_xlfn.LET(_xlpm.fullText,A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98" spans="1:17">
      <c r="A98" s="3" t="s">
        <v>68</v>
      </c>
      <c r="K98" s="4" t="str" cm="1">
        <f t="array" ref="K98">MID(A98,MAX(IFERROR(FIND({"省","市","区","县"},A98),0))+1,FIND("街道",A98)-MAX(IFERROR(FIND({"省","市","区","县"},A98),0))-1+2)</f>
        <v>湖里街道</v>
      </c>
      <c r="M98" s="4" t="str" cm="1">
        <f t="array" ref="M98">MID(A98,MAX(IFERROR(FIND({"省"},A98),0),IFERROR(FIND({"市"},A98),0),IFERROR(FIND({"区"},A98),0),IFERROR(FIND({"县"},A98),0))+1,FIND("街道",A98)-MAX(IFERROR(FIND({"省"},A98),0),IFERROR(FIND({"市"},A98),0),IFERROR(FIND({"区"},A98),0),IFERROR(FIND({"县"},A98),0))-1+2)</f>
        <v>湖里街道</v>
      </c>
      <c r="O98" s="4" t="str" cm="1">
        <f t="array" ref="O98">_xlfn.LET(_xlpm.fullText,A98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98" s="4" t="str" cm="1">
        <f t="array" ref="Q98">_xlfn.LET(_xlpm.fullText,A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99" spans="1:17">
      <c r="A99" s="3" t="s">
        <v>68</v>
      </c>
      <c r="K99" s="4" t="str" cm="1">
        <f t="array" ref="K99">MID(A99,MAX(IFERROR(FIND({"省","市","区","县"},A99),0))+1,FIND("街道",A99)-MAX(IFERROR(FIND({"省","市","区","县"},A99),0))-1+2)</f>
        <v>湖里街道</v>
      </c>
      <c r="M99" s="4" t="str" cm="1">
        <f t="array" ref="M99">MID(A99,MAX(IFERROR(FIND({"省"},A99),0),IFERROR(FIND({"市"},A99),0),IFERROR(FIND({"区"},A99),0),IFERROR(FIND({"县"},A99),0))+1,FIND("街道",A99)-MAX(IFERROR(FIND({"省"},A99),0),IFERROR(FIND({"市"},A99),0),IFERROR(FIND({"区"},A99),0),IFERROR(FIND({"县"},A99),0))-1+2)</f>
        <v>湖里街道</v>
      </c>
      <c r="O99" s="4" t="str" cm="1">
        <f t="array" ref="O99">_xlfn.LET(_xlpm.fullText,A99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99" s="4" t="str" cm="1">
        <f t="array" ref="Q99">_xlfn.LET(_xlpm.fullText,A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00" spans="1:17">
      <c r="A100" s="3" t="s">
        <v>69</v>
      </c>
      <c r="K100" s="4" t="str" cm="1">
        <f t="array" ref="K100">MID(A100,MAX(IFERROR(FIND({"省","市","区","县"},A100),0))+1,FIND("街道",A100)-MAX(IFERROR(FIND({"省","市","区","县"},A100),0))-1+2)</f>
        <v>梧村街道</v>
      </c>
      <c r="M100" s="4" t="str" cm="1">
        <f t="array" ref="M100">MID(A100,MAX(IFERROR(FIND({"省"},A100),0),IFERROR(FIND({"市"},A100),0),IFERROR(FIND({"区"},A100),0),IFERROR(FIND({"县"},A100),0))+1,FIND("街道",A100)-MAX(IFERROR(FIND({"省"},A100),0),IFERROR(FIND({"市"},A100),0),IFERROR(FIND({"区"},A100),0),IFERROR(FIND({"县"},A100),0))-1+2)</f>
        <v>梧村街道</v>
      </c>
      <c r="O100" s="4" t="str" cm="1">
        <f t="array" ref="O100">_xlfn.LET(_xlpm.fullText,A100,_xlpm.streetPos,FIND("街道",_xlpm.fullText)+2,_xlpm.prefixText,LEFT(_xlpm.fullText,_xlpm.streetPos-1),_xlpm.adminPos,MAX(IFERROR(FIND({"省","市","区","县"},_xlpm.prefixText),0)),IF(_xlpm.adminPos&gt;0,MID(_xlpm.prefixText,_xlpm.adminPos+1,_xlpm.streetPos-_xlpm.adminPos-3+2),LEFT(_xlpm.prefixText,FIND("街道",_xlpm.prefixText)-1+2)))</f>
        <v>梧村街道</v>
      </c>
      <c r="Q100" s="4" t="str" cm="1">
        <f t="array" ref="Q100">_xlfn.LET(_xlpm.fullText,A100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梧村街道</v>
      </c>
    </row>
    <row r="101" spans="1:17">
      <c r="A101" s="3" t="s">
        <v>70</v>
      </c>
      <c r="K101" s="4" t="str" cm="1">
        <f t="array" ref="K101">MID(A101,MAX(IFERROR(FIND({"省","市","区","县"},A101),0))+1,FIND("街道",A101)-MAX(IFERROR(FIND({"省","市","区","县"},A101),0))-1+2)</f>
        <v>东海街道</v>
      </c>
      <c r="M101" s="4" t="str" cm="1">
        <f t="array" ref="M101">MID(A101,MAX(IFERROR(FIND({"省"},A101),0),IFERROR(FIND({"市"},A101),0),IFERROR(FIND({"区"},A101),0),IFERROR(FIND({"县"},A101),0))+1,FIND("街道",A101)-MAX(IFERROR(FIND({"省"},A101),0),IFERROR(FIND({"市"},A101),0),IFERROR(FIND({"区"},A101),0),IFERROR(FIND({"县"},A101),0))-1+2)</f>
        <v>东海街道</v>
      </c>
      <c r="O101" s="4" t="str" cm="1">
        <f t="array" ref="O101">_xlfn.LET(_xlpm.fullText,A101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1" s="4" t="str" cm="1">
        <f t="array" ref="Q101">_xlfn.LET(_xlpm.fullText,A101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02" spans="1:17">
      <c r="A102" s="3" t="s">
        <v>27</v>
      </c>
      <c r="K102" s="4" t="str" cm="1">
        <f t="array" ref="K102">MID(A102,MAX(IFERROR(FIND({"省","市","区","县"},A102),0))+1,FIND("街道",A102)-MAX(IFERROR(FIND({"省","市","区","县"},A102),0))-1+2)</f>
        <v>东海街道</v>
      </c>
      <c r="M102" s="4" t="str" cm="1">
        <f t="array" ref="M102">MID(A102,MAX(IFERROR(FIND({"省"},A102),0),IFERROR(FIND({"市"},A102),0),IFERROR(FIND({"区"},A102),0),IFERROR(FIND({"县"},A102),0))+1,FIND("街道",A102)-MAX(IFERROR(FIND({"省"},A102),0),IFERROR(FIND({"市"},A102),0),IFERROR(FIND({"区"},A102),0),IFERROR(FIND({"县"},A102),0))-1+2)</f>
        <v>东海街道</v>
      </c>
      <c r="O102" s="4" t="str" cm="1">
        <f t="array" ref="O102">_xlfn.LET(_xlpm.fullText,A102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2" s="4" t="str" cm="1">
        <f t="array" ref="Q102">_xlfn.LET(_xlpm.fullText,A102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03" spans="1:17">
      <c r="A103" s="3" t="s">
        <v>27</v>
      </c>
      <c r="K103" s="4" t="str" cm="1">
        <f t="array" ref="K103">MID(A103,MAX(IFERROR(FIND({"省","市","区","县"},A103),0))+1,FIND("街道",A103)-MAX(IFERROR(FIND({"省","市","区","县"},A103),0))-1+2)</f>
        <v>东海街道</v>
      </c>
      <c r="M103" s="4" t="str" cm="1">
        <f t="array" ref="M103">MID(A103,MAX(IFERROR(FIND({"省"},A103),0),IFERROR(FIND({"市"},A103),0),IFERROR(FIND({"区"},A103),0),IFERROR(FIND({"县"},A103),0))+1,FIND("街道",A103)-MAX(IFERROR(FIND({"省"},A103),0),IFERROR(FIND({"市"},A103),0),IFERROR(FIND({"区"},A103),0),IFERROR(FIND({"县"},A103),0))-1+2)</f>
        <v>东海街道</v>
      </c>
      <c r="O103" s="4" t="str" cm="1">
        <f t="array" ref="O103">_xlfn.LET(_xlpm.fullText,A103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3" s="4" t="str" cm="1">
        <f t="array" ref="Q103">_xlfn.LET(_xlpm.fullText,A103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04" spans="1:17">
      <c r="A104" s="3" t="s">
        <v>33</v>
      </c>
      <c r="K104" s="4" t="str" cm="1">
        <f t="array" ref="K104">MID(A104,MAX(IFERROR(FIND({"省","市","区","县"},A104),0))+1,FIND("街道",A104)-MAX(IFERROR(FIND({"省","市","区","县"},A104),0))-1+2)</f>
        <v>城东街道</v>
      </c>
      <c r="M104" s="4" t="str" cm="1">
        <f t="array" ref="M104">MID(A104,MAX(IFERROR(FIND({"省"},A104),0),IFERROR(FIND({"市"},A104),0),IFERROR(FIND({"区"},A104),0),IFERROR(FIND({"县"},A104),0))+1,FIND("街道",A104)-MAX(IFERROR(FIND({"省"},A104),0),IFERROR(FIND({"市"},A104),0),IFERROR(FIND({"区"},A104),0),IFERROR(FIND({"县"},A104),0))-1+2)</f>
        <v>城东街道</v>
      </c>
      <c r="O104" s="4" t="str" cm="1">
        <f t="array" ref="O104">_xlfn.LET(_xlpm.fullText,A104,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104" s="4" t="str" cm="1">
        <f t="array" ref="Q104">_xlfn.LET(_xlpm.fullText,A104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105" spans="1:17">
      <c r="A105" s="3" t="s">
        <v>28</v>
      </c>
      <c r="K105" s="4" t="str" cm="1">
        <f t="array" ref="K105">MID(A105,MAX(IFERROR(FIND({"省","市","区","县"},A105),0))+1,FIND("街道",A105)-MAX(IFERROR(FIND({"省","市","区","县"},A105),0))-1+2)</f>
        <v>东海街道</v>
      </c>
      <c r="M105" s="4" t="str" cm="1">
        <f t="array" ref="M105">MID(A105,MAX(IFERROR(FIND({"省"},A105),0),IFERROR(FIND({"市"},A105),0),IFERROR(FIND({"区"},A105),0),IFERROR(FIND({"县"},A105),0))+1,FIND("街道",A105)-MAX(IFERROR(FIND({"省"},A105),0),IFERROR(FIND({"市"},A105),0),IFERROR(FIND({"区"},A105),0),IFERROR(FIND({"县"},A105),0))-1+2)</f>
        <v>东海街道</v>
      </c>
      <c r="O105" s="4" t="str" cm="1">
        <f t="array" ref="O105">_xlfn.LET(_xlpm.fullText,A105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5" s="4" t="str" cm="1">
        <f t="array" ref="Q105">_xlfn.LET(_xlpm.fullText,A105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06" spans="1:17">
      <c r="A106" s="3" t="s">
        <v>27</v>
      </c>
      <c r="K106" s="4" t="str" cm="1">
        <f t="array" ref="K106">MID(A106,MAX(IFERROR(FIND({"省","市","区","县"},A106),0))+1,FIND("街道",A106)-MAX(IFERROR(FIND({"省","市","区","县"},A106),0))-1+2)</f>
        <v>东海街道</v>
      </c>
      <c r="M106" s="4" t="str" cm="1">
        <f t="array" ref="M106">MID(A106,MAX(IFERROR(FIND({"省"},A106),0),IFERROR(FIND({"市"},A106),0),IFERROR(FIND({"区"},A106),0),IFERROR(FIND({"县"},A106),0))+1,FIND("街道",A106)-MAX(IFERROR(FIND({"省"},A106),0),IFERROR(FIND({"市"},A106),0),IFERROR(FIND({"区"},A106),0),IFERROR(FIND({"县"},A106),0))-1+2)</f>
        <v>东海街道</v>
      </c>
      <c r="O106" s="4" t="str" cm="1">
        <f t="array" ref="O106">_xlfn.LET(_xlpm.fullText,A106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6" s="4" t="str" cm="1">
        <f t="array" ref="Q106">_xlfn.LET(_xlpm.fullText,A106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07" spans="1:17">
      <c r="A107" s="3" t="s">
        <v>68</v>
      </c>
      <c r="K107" s="4" t="str" cm="1">
        <f t="array" ref="K107">MID(A107,MAX(IFERROR(FIND({"省","市","区","县"},A107),0))+1,FIND("街道",A107)-MAX(IFERROR(FIND({"省","市","区","县"},A107),0))-1+2)</f>
        <v>湖里街道</v>
      </c>
      <c r="M107" s="4" t="str" cm="1">
        <f t="array" ref="M107">MID(A107,MAX(IFERROR(FIND({"省"},A107),0),IFERROR(FIND({"市"},A107),0),IFERROR(FIND({"区"},A107),0),IFERROR(FIND({"县"},A107),0))+1,FIND("街道",A107)-MAX(IFERROR(FIND({"省"},A107),0),IFERROR(FIND({"市"},A107),0),IFERROR(FIND({"区"},A107),0),IFERROR(FIND({"县"},A107),0))-1+2)</f>
        <v>湖里街道</v>
      </c>
      <c r="O107" s="4" t="str" cm="1">
        <f t="array" ref="O107">_xlfn.LET(_xlpm.fullText,A107,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07" s="4" t="str" cm="1">
        <f t="array" ref="Q107">_xlfn.LET(_xlpm.fullText,A107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08" spans="1:17">
      <c r="A108" s="3" t="s">
        <v>68</v>
      </c>
      <c r="K108" s="4" t="str" cm="1">
        <f t="array" ref="K108">MID(A108,MAX(IFERROR(FIND({"省","市","区","县"},A108),0))+1,FIND("街道",A108)-MAX(IFERROR(FIND({"省","市","区","县"},A108),0))-1+2)</f>
        <v>湖里街道</v>
      </c>
      <c r="M108" s="4" t="str" cm="1">
        <f t="array" ref="M108">MID(A108,MAX(IFERROR(FIND({"省"},A108),0),IFERROR(FIND({"市"},A108),0),IFERROR(FIND({"区"},A108),0),IFERROR(FIND({"县"},A108),0))+1,FIND("街道",A108)-MAX(IFERROR(FIND({"省"},A108),0),IFERROR(FIND({"市"},A108),0),IFERROR(FIND({"区"},A108),0),IFERROR(FIND({"县"},A108),0))-1+2)</f>
        <v>湖里街道</v>
      </c>
      <c r="O108" s="4" t="str" cm="1">
        <f t="array" ref="O108">_xlfn.LET(_xlpm.fullText,A108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08" s="4" t="str" cm="1">
        <f t="array" ref="Q108">_xlfn.LET(_xlpm.fullText,A108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09" spans="1:17">
      <c r="A109" s="3" t="s">
        <v>27</v>
      </c>
      <c r="K109" s="4" t="str" cm="1">
        <f t="array" ref="K109">MID(A109,MAX(IFERROR(FIND({"省","市","区","县"},A109),0))+1,FIND("街道",A109)-MAX(IFERROR(FIND({"省","市","区","县"},A109),0))-1+2)</f>
        <v>东海街道</v>
      </c>
      <c r="M109" s="4" t="str" cm="1">
        <f t="array" ref="M109">MID(A109,MAX(IFERROR(FIND({"省"},A109),0),IFERROR(FIND({"市"},A109),0),IFERROR(FIND({"区"},A109),0),IFERROR(FIND({"县"},A109),0))+1,FIND("街道",A109)-MAX(IFERROR(FIND({"省"},A109),0),IFERROR(FIND({"市"},A109),0),IFERROR(FIND({"区"},A109),0),IFERROR(FIND({"县"},A109),0))-1+2)</f>
        <v>东海街道</v>
      </c>
      <c r="O109" s="4" t="str" cm="1">
        <f t="array" ref="O109">_xlfn.LET(_xlpm.fullText,A109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09" s="4" t="str" cm="1">
        <f t="array" ref="Q109">_xlfn.LET(_xlpm.fullText,A109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0" spans="1:17">
      <c r="A110" s="3" t="s">
        <v>27</v>
      </c>
      <c r="K110" s="4" t="str" cm="1">
        <f t="array" ref="K110">MID(A110,MAX(IFERROR(FIND({"省","市","区","县"},A110),0))+1,FIND("街道",A110)-MAX(IFERROR(FIND({"省","市","区","县"},A110),0))-1+2)</f>
        <v>东海街道</v>
      </c>
      <c r="M110" s="4" t="str" cm="1">
        <f t="array" ref="M110">MID(A110,MAX(IFERROR(FIND({"省"},A110),0),IFERROR(FIND({"市"},A110),0),IFERROR(FIND({"区"},A110),0),IFERROR(FIND({"县"},A110),0))+1,FIND("街道",A110)-MAX(IFERROR(FIND({"省"},A110),0),IFERROR(FIND({"市"},A110),0),IFERROR(FIND({"区"},A110),0),IFERROR(FIND({"县"},A110),0))-1+2)</f>
        <v>东海街道</v>
      </c>
      <c r="O110" s="4" t="str" cm="1">
        <f t="array" ref="O110">_xlfn.LET(_xlpm.fullText,A110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0" s="4" t="str" cm="1">
        <f t="array" ref="Q110">_xlfn.LET(_xlpm.fullText,A110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1" spans="1:17">
      <c r="A111" s="3" t="s">
        <v>27</v>
      </c>
      <c r="K111" s="4" t="str" cm="1">
        <f t="array" ref="K111">MID(A111,MAX(IFERROR(FIND({"省","市","区","县"},A111),0))+1,FIND("街道",A111)-MAX(IFERROR(FIND({"省","市","区","县"},A111),0))-1+2)</f>
        <v>东海街道</v>
      </c>
      <c r="M111" s="4" t="str" cm="1">
        <f t="array" ref="M111">MID(A111,MAX(IFERROR(FIND({"省"},A111),0),IFERROR(FIND({"市"},A111),0),IFERROR(FIND({"区"},A111),0),IFERROR(FIND({"县"},A111),0))+1,FIND("街道",A111)-MAX(IFERROR(FIND({"省"},A111),0),IFERROR(FIND({"市"},A111),0),IFERROR(FIND({"区"},A111),0),IFERROR(FIND({"县"},A111),0))-1+2)</f>
        <v>东海街道</v>
      </c>
      <c r="O111" s="4" t="str" cm="1">
        <f t="array" ref="O111">_xlfn.LET(_xlpm.fullText,A111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1" s="4" t="str" cm="1">
        <f t="array" ref="Q111">_xlfn.LET(_xlpm.fullText,A111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2" spans="1:17">
      <c r="A112" s="3" t="s">
        <v>27</v>
      </c>
      <c r="K112" s="4" t="str" cm="1">
        <f t="array" ref="K112">MID(A112,MAX(IFERROR(FIND({"省","市","区","县"},A112),0))+1,FIND("街道",A112)-MAX(IFERROR(FIND({"省","市","区","县"},A112),0))-1+2)</f>
        <v>东海街道</v>
      </c>
      <c r="M112" s="4" t="str" cm="1">
        <f t="array" ref="M112">MID(A112,MAX(IFERROR(FIND({"省"},A112),0),IFERROR(FIND({"市"},A112),0),IFERROR(FIND({"区"},A112),0),IFERROR(FIND({"县"},A112),0))+1,FIND("街道",A112)-MAX(IFERROR(FIND({"省"},A112),0),IFERROR(FIND({"市"},A112),0),IFERROR(FIND({"区"},A112),0),IFERROR(FIND({"县"},A112),0))-1+2)</f>
        <v>东海街道</v>
      </c>
      <c r="O112" s="4" t="str" cm="1">
        <f t="array" ref="O112">_xlfn.LET(_xlpm.fullText,A112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2" s="4" t="str" cm="1">
        <f t="array" ref="Q112">_xlfn.LET(_xlpm.fullText,A112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3" spans="1:17">
      <c r="A113" s="3" t="s">
        <v>27</v>
      </c>
      <c r="K113" s="4" t="str" cm="1">
        <f t="array" ref="K113">MID(A113,MAX(IFERROR(FIND({"省","市","区","县"},A113),0))+1,FIND("街道",A113)-MAX(IFERROR(FIND({"省","市","区","县"},A113),0))-1+2)</f>
        <v>东海街道</v>
      </c>
      <c r="M113" s="4" t="str" cm="1">
        <f t="array" ref="M113">MID(A113,MAX(IFERROR(FIND({"省"},A113),0),IFERROR(FIND({"市"},A113),0),IFERROR(FIND({"区"},A113),0),IFERROR(FIND({"县"},A113),0))+1,FIND("街道",A113)-MAX(IFERROR(FIND({"省"},A113),0),IFERROR(FIND({"市"},A113),0),IFERROR(FIND({"区"},A113),0),IFERROR(FIND({"县"},A113),0))-1+2)</f>
        <v>东海街道</v>
      </c>
      <c r="O113" s="4" t="str" cm="1">
        <f t="array" ref="O113">_xlfn.LET(_xlpm.fullText,A113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3" s="4" t="str" cm="1">
        <f t="array" ref="Q113">_xlfn.LET(_xlpm.fullText,A113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4" spans="1:17">
      <c r="A114" s="3" t="s">
        <v>71</v>
      </c>
      <c r="K114" s="4" t="str" cm="1">
        <f t="array" ref="K114">MID(A114,MAX(IFERROR(FIND({"省","市","区","县"},A114),0))+1,FIND("街道",A114)-MAX(IFERROR(FIND({"省","市","区","县"},A114),0))-1+2)</f>
        <v>杏林街道</v>
      </c>
      <c r="M114" s="4" t="str" cm="1">
        <f t="array" ref="M114">MID(A114,MAX(IFERROR(FIND({"省"},A114),0),IFERROR(FIND({"市"},A114),0),IFERROR(FIND({"区"},A114),0),IFERROR(FIND({"县"},A114),0))+1,FIND("街道",A114)-MAX(IFERROR(FIND({"省"},A114),0),IFERROR(FIND({"市"},A114),0),IFERROR(FIND({"区"},A114),0),IFERROR(FIND({"县"},A114),0))-1+2)</f>
        <v>杏林街道</v>
      </c>
      <c r="O114" s="4" t="str" cm="1">
        <f t="array" ref="O114">_xlfn.LET(_xlpm.fullText,A114,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114" s="4" t="str" cm="1">
        <f t="array" ref="Q114">_xlfn.LET(_xlpm.fullText,A114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115" spans="1:17">
      <c r="A115" s="3" t="s">
        <v>27</v>
      </c>
      <c r="K115" s="4" t="str" cm="1">
        <f t="array" ref="K115">MID(A115,MAX(IFERROR(FIND({"省","市","区","县"},A115),0))+1,FIND("街道",A115)-MAX(IFERROR(FIND({"省","市","区","县"},A115),0))-1+2)</f>
        <v>东海街道</v>
      </c>
      <c r="M115" s="4" t="str" cm="1">
        <f t="array" ref="M115">MID(A115,MAX(IFERROR(FIND({"省"},A115),0),IFERROR(FIND({"市"},A115),0),IFERROR(FIND({"区"},A115),0),IFERROR(FIND({"县"},A115),0))+1,FIND("街道",A115)-MAX(IFERROR(FIND({"省"},A115),0),IFERROR(FIND({"市"},A115),0),IFERROR(FIND({"区"},A115),0),IFERROR(FIND({"县"},A115),0))-1+2)</f>
        <v>东海街道</v>
      </c>
      <c r="O115" s="4" t="str" cm="1">
        <f t="array" ref="O115">_xlfn.LET(_xlpm.fullText,A115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5" s="4" t="str" cm="1">
        <f t="array" ref="Q115">_xlfn.LET(_xlpm.fullText,A115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16" spans="1:17">
      <c r="A116" s="3" t="s">
        <v>72</v>
      </c>
      <c r="K116" s="4" t="str" cm="1">
        <f t="array" ref="K116">MID(A116,MAX(IFERROR(FIND({"省","市","区","县"},A116),0))+1,FIND("街道",A116)-MAX(IFERROR(FIND({"省","市","区","县"},A116),0))-1+2)</f>
        <v>禾山街道</v>
      </c>
      <c r="M116" s="4" t="str" cm="1">
        <f t="array" ref="M116">MID(A116,MAX(IFERROR(FIND({"省"},A116),0),IFERROR(FIND({"市"},A116),0),IFERROR(FIND({"区"},A116),0),IFERROR(FIND({"县"},A116),0))+1,FIND("街道",A116)-MAX(IFERROR(FIND({"省"},A116),0),IFERROR(FIND({"市"},A116),0),IFERROR(FIND({"区"},A116),0),IFERROR(FIND({"县"},A116),0))-1+2)</f>
        <v>禾山街道</v>
      </c>
      <c r="O116" s="4" t="str" cm="1">
        <f t="array" ref="O116">_xlfn.LET(_xlpm.fullText,A116,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116" s="4" t="str" cm="1">
        <f t="array" ref="Q116">_xlfn.LET(_xlpm.fullText,A116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117" spans="1:17">
      <c r="A117" s="3" t="s">
        <v>72</v>
      </c>
      <c r="K117" s="4" t="str" cm="1">
        <f t="array" ref="K117">MID(A117,MAX(IFERROR(FIND({"省","市","区","县"},A117),0))+1,FIND("街道",A117)-MAX(IFERROR(FIND({"省","市","区","县"},A117),0))-1+2)</f>
        <v>禾山街道</v>
      </c>
      <c r="M117" s="4" t="str" cm="1">
        <f t="array" ref="M117">MID(A117,MAX(IFERROR(FIND({"省"},A117),0),IFERROR(FIND({"市"},A117),0),IFERROR(FIND({"区"},A117),0),IFERROR(FIND({"县"},A117),0))+1,FIND("街道",A117)-MAX(IFERROR(FIND({"省"},A117),0),IFERROR(FIND({"市"},A117),0),IFERROR(FIND({"区"},A117),0),IFERROR(FIND({"县"},A117),0))-1+2)</f>
        <v>禾山街道</v>
      </c>
      <c r="O117" s="4" t="str" cm="1">
        <f t="array" ref="O117">_xlfn.LET(_xlpm.fullText,A117,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117" s="4" t="str" cm="1">
        <f t="array" ref="Q117">_xlfn.LET(_xlpm.fullText,A117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118" spans="1:17">
      <c r="A118" s="3" t="s">
        <v>73</v>
      </c>
      <c r="K118" s="4" t="str" cm="1">
        <f t="array" ref="K118">MID(A118,MAX(IFERROR(FIND({"省","市","区","县"},A118),0))+1,FIND("街道",A118)-MAX(IFERROR(FIND({"省","市","区","县"},A118),0))-1+2)</f>
        <v>湖里街道</v>
      </c>
      <c r="M118" s="4" t="str" cm="1">
        <f t="array" ref="M118">MID(A118,MAX(IFERROR(FIND({"省"},A118),0),IFERROR(FIND({"市"},A118),0),IFERROR(FIND({"区"},A118),0),IFERROR(FIND({"县"},A118),0))+1,FIND("街道",A118)-MAX(IFERROR(FIND({"省"},A118),0),IFERROR(FIND({"市"},A118),0),IFERROR(FIND({"区"},A118),0),IFERROR(FIND({"县"},A118),0))-1+2)</f>
        <v>湖里街道</v>
      </c>
      <c r="O118" s="4" t="str" cm="1">
        <f t="array" ref="O118">_xlfn.LET(_xlpm.fullText,A118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18" s="4" t="str" cm="1">
        <f t="array" ref="Q118">_xlfn.LET(_xlpm.fullText,A118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19" spans="1:17">
      <c r="A119" s="3" t="s">
        <v>27</v>
      </c>
      <c r="K119" s="4" t="str" cm="1">
        <f t="array" ref="K119">MID(A119,MAX(IFERROR(FIND({"省","市","区","县"},A119),0))+1,FIND("街道",A119)-MAX(IFERROR(FIND({"省","市","区","县"},A119),0))-1+2)</f>
        <v>东海街道</v>
      </c>
      <c r="M119" s="4" t="str" cm="1">
        <f t="array" ref="M119">MID(A119,MAX(IFERROR(FIND({"省"},A119),0),IFERROR(FIND({"市"},A119),0),IFERROR(FIND({"区"},A119),0),IFERROR(FIND({"县"},A119),0))+1,FIND("街道",A119)-MAX(IFERROR(FIND({"省"},A119),0),IFERROR(FIND({"市"},A119),0),IFERROR(FIND({"区"},A119),0),IFERROR(FIND({"县"},A119),0))-1+2)</f>
        <v>东海街道</v>
      </c>
      <c r="O119" s="4" t="str" cm="1">
        <f t="array" ref="O119">_xlfn.LET(_xlpm.fullText,A119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19" s="4" t="str" cm="1">
        <f t="array" ref="Q119">_xlfn.LET(_xlpm.fullText,A119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0" spans="1:17">
      <c r="A120" s="3" t="s">
        <v>27</v>
      </c>
      <c r="K120" s="4" t="str" cm="1">
        <f t="array" ref="K120">MID(A120,MAX(IFERROR(FIND({"省","市","区","县"},A120),0))+1,FIND("街道",A120)-MAX(IFERROR(FIND({"省","市","区","县"},A120),0))-1+2)</f>
        <v>东海街道</v>
      </c>
      <c r="M120" s="4" t="str" cm="1">
        <f t="array" ref="M120">MID(A120,MAX(IFERROR(FIND({"省"},A120),0),IFERROR(FIND({"市"},A120),0),IFERROR(FIND({"区"},A120),0),IFERROR(FIND({"县"},A120),0))+1,FIND("街道",A120)-MAX(IFERROR(FIND({"省"},A120),0),IFERROR(FIND({"市"},A120),0),IFERROR(FIND({"区"},A120),0),IFERROR(FIND({"县"},A120),0))-1+2)</f>
        <v>东海街道</v>
      </c>
      <c r="O120" s="4" t="str" cm="1">
        <f t="array" ref="O120">_xlfn.LET(_xlpm.fullText,A120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20" s="4" t="str" cm="1">
        <f t="array" ref="Q120">_xlfn.LET(_xlpm.fullText,A120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1" spans="1:17">
      <c r="A121" s="3" t="s">
        <v>27</v>
      </c>
      <c r="K121" s="4" t="str" cm="1">
        <f t="array" ref="K121">MID(A121,MAX(IFERROR(FIND({"省","市","区","县"},A121),0))+1,FIND("街道",A121)-MAX(IFERROR(FIND({"省","市","区","县"},A121),0))-1+2)</f>
        <v>东海街道</v>
      </c>
      <c r="M121" s="4" t="str" cm="1">
        <f t="array" ref="M121">MID(A121,MAX(IFERROR(FIND({"省"},A121),0),IFERROR(FIND({"市"},A121),0),IFERROR(FIND({"区"},A121),0),IFERROR(FIND({"县"},A121),0))+1,FIND("街道",A121)-MAX(IFERROR(FIND({"省"},A121),0),IFERROR(FIND({"市"},A121),0),IFERROR(FIND({"区"},A121),0),IFERROR(FIND({"县"},A121),0))-1+2)</f>
        <v>东海街道</v>
      </c>
      <c r="O121" s="4" t="str" cm="1">
        <f t="array" ref="O121">_xlfn.LET(_xlpm.fullText,A121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21" s="4" t="str" cm="1">
        <f t="array" ref="Q121">_xlfn.LET(_xlpm.fullText,A121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2" spans="1:17">
      <c r="A122" s="3" t="s">
        <v>27</v>
      </c>
      <c r="K122" s="4" t="str" cm="1">
        <f t="array" ref="K122">MID(A122,MAX(IFERROR(FIND({"省","市","区","县"},A122),0))+1,FIND("街道",A122)-MAX(IFERROR(FIND({"省","市","区","县"},A122),0))-1+2)</f>
        <v>东海街道</v>
      </c>
      <c r="M122" s="4" t="str" cm="1">
        <f t="array" ref="M122">MID(A122,MAX(IFERROR(FIND({"省"},A122),0),IFERROR(FIND({"市"},A122),0),IFERROR(FIND({"区"},A122),0),IFERROR(FIND({"县"},A122),0))+1,FIND("街道",A122)-MAX(IFERROR(FIND({"省"},A122),0),IFERROR(FIND({"市"},A122),0),IFERROR(FIND({"区"},A122),0),IFERROR(FIND({"县"},A122),0))-1+2)</f>
        <v>东海街道</v>
      </c>
      <c r="O122" s="4" t="str" cm="1">
        <f t="array" ref="O122">_xlfn.LET(_xlpm.fullText,A122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22" s="4" t="str" cm="1">
        <f t="array" ref="Q122">_xlfn.LET(_xlpm.fullText,A122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3" spans="1:17">
      <c r="A123" s="3" t="s">
        <v>25</v>
      </c>
      <c r="K123" s="4" t="str" cm="1">
        <f t="array" ref="K123">MID(A123,MAX(IFERROR(FIND({"省","市","区","县"},A123),0))+1,FIND("街道",A123)-MAX(IFERROR(FIND({"省","市","区","县"},A123),0))-1+2)</f>
        <v>东海街道</v>
      </c>
      <c r="M123" s="4" t="str" cm="1">
        <f t="array" ref="M123">MID(A123,MAX(IFERROR(FIND({"省"},A123),0),IFERROR(FIND({"市"},A123),0),IFERROR(FIND({"区"},A123),0),IFERROR(FIND({"县"},A123),0))+1,FIND("街道",A123)-MAX(IFERROR(FIND({"省"},A123),0),IFERROR(FIND({"市"},A123),0),IFERROR(FIND({"区"},A123),0),IFERROR(FIND({"县"},A123),0))-1+2)</f>
        <v>东海街道</v>
      </c>
      <c r="O123" s="4" t="str" cm="1">
        <f t="array" ref="O123">_xlfn.LET(_xlpm.fullText,A123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23" s="4" t="str" cm="1">
        <f t="array" ref="Q123">_xlfn.LET(_xlpm.fullText,A123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4" spans="1:17">
      <c r="A124" s="3" t="s">
        <v>27</v>
      </c>
      <c r="K124" s="4" t="str" cm="1">
        <f t="array" ref="K124">MID(A124,MAX(IFERROR(FIND({"省","市","区","县"},A124),0))+1,FIND("街道",A124)-MAX(IFERROR(FIND({"省","市","区","县"},A124),0))-1+2)</f>
        <v>东海街道</v>
      </c>
      <c r="M124" s="4" t="str" cm="1">
        <f t="array" ref="M124">MID(A124,MAX(IFERROR(FIND({"省"},A124),0),IFERROR(FIND({"市"},A124),0),IFERROR(FIND({"区"},A124),0),IFERROR(FIND({"县"},A124),0))+1,FIND("街道",A124)-MAX(IFERROR(FIND({"省"},A124),0),IFERROR(FIND({"市"},A124),0),IFERROR(FIND({"区"},A124),0),IFERROR(FIND({"县"},A124),0))-1+2)</f>
        <v>东海街道</v>
      </c>
      <c r="O124" s="4" t="str" cm="1">
        <f t="array" ref="O124">_xlfn.LET(_xlpm.fullText,A124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24" s="4" t="str" cm="1">
        <f t="array" ref="Q124">_xlfn.LET(_xlpm.fullText,A124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25" spans="1:17">
      <c r="A125" s="3" t="s">
        <v>74</v>
      </c>
      <c r="K125" s="4" t="str" cm="1">
        <f t="array" ref="K125">MID(A125,MAX(IFERROR(FIND({"省","市","区","县"},A125),0))+1,FIND("街道",A125)-MAX(IFERROR(FIND({"省","市","区","县"},A125),0))-1+2)</f>
        <v>湖里街道</v>
      </c>
      <c r="M125" s="4" t="str" cm="1">
        <f t="array" ref="M125">MID(A125,MAX(IFERROR(FIND({"省"},A125),0),IFERROR(FIND({"市"},A125),0),IFERROR(FIND({"区"},A125),0),IFERROR(FIND({"县"},A125),0))+1,FIND("街道",A125)-MAX(IFERROR(FIND({"省"},A125),0),IFERROR(FIND({"市"},A125),0),IFERROR(FIND({"区"},A125),0),IFERROR(FIND({"县"},A125),0))-1+2)</f>
        <v>湖里街道</v>
      </c>
      <c r="O125" s="4" t="str" cm="1">
        <f t="array" ref="O125">_xlfn.LET(_xlpm.fullText,A125,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25" s="4" t="str" cm="1">
        <f t="array" ref="Q125">_xlfn.LET(_xlpm.fullText,A125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26" spans="1:17">
      <c r="A126" s="3" t="s">
        <v>75</v>
      </c>
      <c r="K126" s="4" t="str" cm="1">
        <f t="array" ref="K126">MID(A126,MAX(IFERROR(FIND({"省","市","区","县"},A126),0))+1,FIND("街道",A126)-MAX(IFERROR(FIND({"省","市","区","县"},A126),0))-1+2)</f>
        <v>湖里街道</v>
      </c>
      <c r="M126" s="4" t="str" cm="1">
        <f t="array" ref="M126">MID(A126,MAX(IFERROR(FIND({"省"},A126),0),IFERROR(FIND({"市"},A126),0),IFERROR(FIND({"区"},A126),0),IFERROR(FIND({"县"},A126),0))+1,FIND("街道",A126)-MAX(IFERROR(FIND({"省"},A126),0),IFERROR(FIND({"市"},A126),0),IFERROR(FIND({"区"},A126),0),IFERROR(FIND({"县"},A126),0))-1+2)</f>
        <v>湖里街道</v>
      </c>
      <c r="O126" s="4" t="str" cm="1">
        <f t="array" ref="O126">_xlfn.LET(_xlpm.fullText,A126,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26" s="4" t="str" cm="1">
        <f t="array" ref="Q126">_xlfn.LET(_xlpm.fullText,A126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27" spans="1:17">
      <c r="A127" s="3" t="s">
        <v>76</v>
      </c>
      <c r="K127" s="4" t="str" cm="1">
        <f t="array" ref="K127">MID(A127,MAX(IFERROR(FIND({"省","市","区","县"},A127),0))+1,FIND("街道",A127)-MAX(IFERROR(FIND({"省","市","区","县"},A127),0))-1+2)</f>
        <v>殿前街道</v>
      </c>
      <c r="M127" s="4" t="str" cm="1">
        <f t="array" ref="M127">MID(A127,MAX(IFERROR(FIND({"省"},A127),0),IFERROR(FIND({"市"},A127),0),IFERROR(FIND({"区"},A127),0),IFERROR(FIND({"县"},A127),0))+1,FIND("街道",A127)-MAX(IFERROR(FIND({"省"},A127),0),IFERROR(FIND({"市"},A127),0),IFERROR(FIND({"区"},A127),0),IFERROR(FIND({"县"},A127),0))-1+2)</f>
        <v>殿前街道</v>
      </c>
      <c r="O127" s="4" t="str" cm="1">
        <f t="array" ref="O127">_xlfn.LET(_xlpm.fullText,A127,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27" s="4" t="str" cm="1">
        <f t="array" ref="Q127">_xlfn.LET(_xlpm.fullText,A127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28" spans="1:17">
      <c r="A128" s="3" t="s">
        <v>76</v>
      </c>
      <c r="K128" s="4" t="str" cm="1">
        <f t="array" ref="K128">MID(A128,MAX(IFERROR(FIND({"省","市","区","县"},A128),0))+1,FIND("街道",A128)-MAX(IFERROR(FIND({"省","市","区","县"},A128),0))-1+2)</f>
        <v>殿前街道</v>
      </c>
      <c r="M128" s="4" t="str" cm="1">
        <f t="array" ref="M128">MID(A128,MAX(IFERROR(FIND({"省"},A128),0),IFERROR(FIND({"市"},A128),0),IFERROR(FIND({"区"},A128),0),IFERROR(FIND({"县"},A128),0))+1,FIND("街道",A128)-MAX(IFERROR(FIND({"省"},A128),0),IFERROR(FIND({"市"},A128),0),IFERROR(FIND({"区"},A128),0),IFERROR(FIND({"县"},A128),0))-1+2)</f>
        <v>殿前街道</v>
      </c>
      <c r="O128" s="4" t="str" cm="1">
        <f t="array" ref="O128">_xlfn.LET(_xlpm.fullText,A128,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28" s="4" t="str" cm="1">
        <f t="array" ref="Q128">_xlfn.LET(_xlpm.fullText,A128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29" spans="1:17">
      <c r="A129" s="3" t="s">
        <v>76</v>
      </c>
      <c r="K129" s="4" t="str" cm="1">
        <f t="array" ref="K129">MID(A129,MAX(IFERROR(FIND({"省","市","区","县"},A129),0))+1,FIND("街道",A129)-MAX(IFERROR(FIND({"省","市","区","县"},A129),0))-1+2)</f>
        <v>殿前街道</v>
      </c>
      <c r="M129" s="4" t="str" cm="1">
        <f t="array" ref="M129">MID(A129,MAX(IFERROR(FIND({"省"},A129),0),IFERROR(FIND({"市"},A129),0),IFERROR(FIND({"区"},A129),0),IFERROR(FIND({"县"},A129),0))+1,FIND("街道",A129)-MAX(IFERROR(FIND({"省"},A129),0),IFERROR(FIND({"市"},A129),0),IFERROR(FIND({"区"},A129),0),IFERROR(FIND({"县"},A129),0))-1+2)</f>
        <v>殿前街道</v>
      </c>
      <c r="O129" s="4" t="str" cm="1">
        <f t="array" ref="O129">_xlfn.LET(_xlpm.fullText,A129,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29" s="4" t="str" cm="1">
        <f t="array" ref="Q129">_xlfn.LET(_xlpm.fullText,A129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30" spans="1:17">
      <c r="A130" s="3" t="s">
        <v>77</v>
      </c>
      <c r="K130" s="4" t="str" cm="1">
        <f t="array" ref="K130">MID(A130,MAX(IFERROR(FIND({"省","市","区","县"},A130),0))+1,FIND("街道",A130)-MAX(IFERROR(FIND({"省","市","区","县"},A130),0))-1+2)</f>
        <v>丰泽街道</v>
      </c>
      <c r="M130" s="4" t="str" cm="1">
        <f t="array" ref="M130">MID(A130,MAX(IFERROR(FIND({"省"},A130),0),IFERROR(FIND({"市"},A130),0),IFERROR(FIND({"区"},A130),0),IFERROR(FIND({"县"},A130),0))+1,FIND("街道",A130)-MAX(IFERROR(FIND({"省"},A130),0),IFERROR(FIND({"市"},A130),0),IFERROR(FIND({"区"},A130),0),IFERROR(FIND({"县"},A130),0))-1+2)</f>
        <v>丰泽街道</v>
      </c>
      <c r="O130" s="4" t="str" cm="1">
        <f t="array" ref="O130">_xlfn.LET(_xlpm.fullText,A130,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130" s="4" t="str" cm="1">
        <f t="array" ref="Q130">_xlfn.LET(_xlpm.fullText,A130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131" spans="1:17">
      <c r="A131" s="3" t="s">
        <v>78</v>
      </c>
      <c r="K131" s="4" t="str" cm="1">
        <f t="array" ref="K131">MID(A131,MAX(IFERROR(FIND({"省","市","区","县"},A131),0))+1,FIND("街道",A131)-MAX(IFERROR(FIND({"省","市","区","县"},A131),0))-1+2)</f>
        <v>东海街道</v>
      </c>
      <c r="M131" s="4" t="str" cm="1">
        <f t="array" ref="M131">MID(A131,MAX(IFERROR(FIND({"省"},A131),0),IFERROR(FIND({"市"},A131),0),IFERROR(FIND({"区"},A131),0),IFERROR(FIND({"县"},A131),0))+1,FIND("街道",A131)-MAX(IFERROR(FIND({"省"},A131),0),IFERROR(FIND({"市"},A131),0),IFERROR(FIND({"区"},A131),0),IFERROR(FIND({"县"},A131),0))-1+2)</f>
        <v>东海街道</v>
      </c>
      <c r="O131" s="4" t="str" cm="1">
        <f t="array" ref="O131">_xlfn.LET(_xlpm.fullText,A131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31" s="4" t="str" cm="1">
        <f t="array" ref="Q131">_xlfn.LET(_xlpm.fullText,A131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32" spans="1:17">
      <c r="A132" s="3" t="s">
        <v>79</v>
      </c>
      <c r="K132" s="4" t="str" cm="1">
        <f t="array" ref="K132">MID(A132,MAX(IFERROR(FIND({"省","市","区","县"},A132),0))+1,FIND("街道",A132)-MAX(IFERROR(FIND({"省","市","区","县"},A132),0))-1+2)</f>
        <v>嘉莲街道</v>
      </c>
      <c r="M132" s="4" t="str" cm="1">
        <f t="array" ref="M132">MID(A132,MAX(IFERROR(FIND({"省"},A132),0),IFERROR(FIND({"市"},A132),0),IFERROR(FIND({"区"},A132),0),IFERROR(FIND({"县"},A132),0))+1,FIND("街道",A132)-MAX(IFERROR(FIND({"省"},A132),0),IFERROR(FIND({"市"},A132),0),IFERROR(FIND({"区"},A132),0),IFERROR(FIND({"县"},A132),0))-1+2)</f>
        <v>嘉莲街道</v>
      </c>
      <c r="O132" s="4" t="str" cm="1">
        <f t="array" ref="O132">_xlfn.LET(_xlpm.fullText,A132,_xlpm.streetPos,FIND("街道",_xlpm.fullText)+2,_xlpm.prefixText,LEFT(_xlpm.fullText,_xlpm.streetPos-1),_xlpm.adminPos,MAX(IFERROR(FIND({"省","市","区","县"},_xlpm.prefixText),0)),IF(_xlpm.adminPos&gt;0,MID(_xlpm.prefixText,_xlpm.adminPos+1,_xlpm.streetPos-_xlpm.adminPos-3+2),LEFT(_xlpm.prefixText,FIND("街道",_xlpm.prefixText)-1+2)))</f>
        <v>嘉莲街道</v>
      </c>
      <c r="Q132" s="4" t="str" cm="1">
        <f t="array" ref="Q132">_xlfn.LET(_xlpm.fullText,A132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嘉莲街道</v>
      </c>
    </row>
    <row r="133" spans="1:17">
      <c r="A133" s="3" t="s">
        <v>80</v>
      </c>
      <c r="K133" s="4" t="str" cm="1">
        <f t="array" ref="K133">MID(A133,MAX(IFERROR(FIND({"省","市","区","县"},A133),0))+1,FIND("街道",A133)-MAX(IFERROR(FIND({"省","市","区","县"},A133),0))-1+2)</f>
        <v>湖里街道</v>
      </c>
      <c r="M133" s="4" t="str" cm="1">
        <f t="array" ref="M133">MID(A133,MAX(IFERROR(FIND({"省"},A133),0),IFERROR(FIND({"市"},A133),0),IFERROR(FIND({"区"},A133),0),IFERROR(FIND({"县"},A133),0))+1,FIND("街道",A133)-MAX(IFERROR(FIND({"省"},A133),0),IFERROR(FIND({"市"},A133),0),IFERROR(FIND({"区"},A133),0),IFERROR(FIND({"县"},A133),0))-1+2)</f>
        <v>湖里街道</v>
      </c>
      <c r="O133" s="4" t="str" cm="1">
        <f t="array" ref="O133">_xlfn.LET(_xlpm.fullText,A133,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33" s="4" t="str" cm="1">
        <f t="array" ref="Q133">_xlfn.LET(_xlpm.fullText,A133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34" spans="1:17">
      <c r="A134" s="3" t="s">
        <v>27</v>
      </c>
      <c r="K134" s="4" t="str" cm="1">
        <f t="array" ref="K134">MID(A134,MAX(IFERROR(FIND({"省","市","区","县"},A134),0))+1,FIND("街道",A134)-MAX(IFERROR(FIND({"省","市","区","县"},A134),0))-1+2)</f>
        <v>东海街道</v>
      </c>
      <c r="M134" s="4" t="str" cm="1">
        <f t="array" ref="M134">MID(A134,MAX(IFERROR(FIND({"省"},A134),0),IFERROR(FIND({"市"},A134),0),IFERROR(FIND({"区"},A134),0),IFERROR(FIND({"县"},A134),0))+1,FIND("街道",A134)-MAX(IFERROR(FIND({"省"},A134),0),IFERROR(FIND({"市"},A134),0),IFERROR(FIND({"区"},A134),0),IFERROR(FIND({"县"},A134),0))-1+2)</f>
        <v>东海街道</v>
      </c>
      <c r="O134" s="4" t="str" cm="1">
        <f t="array" ref="O134">_xlfn.LET(_xlpm.fullText,A134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34" s="4" t="str" cm="1">
        <f t="array" ref="Q134">_xlfn.LET(_xlpm.fullText,A134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35" spans="1:17">
      <c r="A135" s="3" t="s">
        <v>27</v>
      </c>
      <c r="K135" s="4" t="str" cm="1">
        <f t="array" ref="K135">MID(A135,MAX(IFERROR(FIND({"省","市","区","县"},A135),0))+1,FIND("街道",A135)-MAX(IFERROR(FIND({"省","市","区","县"},A135),0))-1+2)</f>
        <v>东海街道</v>
      </c>
      <c r="M135" s="4" t="str" cm="1">
        <f t="array" ref="M135">MID(A135,MAX(IFERROR(FIND({"省"},A135),0),IFERROR(FIND({"市"},A135),0),IFERROR(FIND({"区"},A135),0),IFERROR(FIND({"县"},A135),0))+1,FIND("街道",A135)-MAX(IFERROR(FIND({"省"},A135),0),IFERROR(FIND({"市"},A135),0),IFERROR(FIND({"区"},A135),0),IFERROR(FIND({"县"},A135),0))-1+2)</f>
        <v>东海街道</v>
      </c>
      <c r="O135" s="4" t="str" cm="1">
        <f t="array" ref="O135">_xlfn.LET(_xlpm.fullText,A135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35" s="4" t="str" cm="1">
        <f t="array" ref="Q135">_xlfn.LET(_xlpm.fullText,A135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36" spans="1:17">
      <c r="A136" s="3" t="s">
        <v>81</v>
      </c>
      <c r="K136" s="4" t="str" cm="1">
        <f t="array" ref="K136">MID(A136,MAX(IFERROR(FIND({"省","市","区","县"},A136),0))+1,FIND("街道",A136)-MAX(IFERROR(FIND({"省","市","区","县"},A136),0))-1+2)</f>
        <v>城东街道</v>
      </c>
      <c r="M136" s="4" t="str" cm="1">
        <f t="array" ref="M136">MID(A136,MAX(IFERROR(FIND({"省"},A136),0),IFERROR(FIND({"市"},A136),0),IFERROR(FIND({"区"},A136),0),IFERROR(FIND({"县"},A136),0))+1,FIND("街道",A136)-MAX(IFERROR(FIND({"省"},A136),0),IFERROR(FIND({"市"},A136),0),IFERROR(FIND({"区"},A136),0),IFERROR(FIND({"县"},A136),0))-1+2)</f>
        <v>城东街道</v>
      </c>
      <c r="O136" s="4" t="str" cm="1">
        <f t="array" ref="O136">_xlfn.LET(_xlpm.fullText,A136,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136" s="4" t="str" cm="1">
        <f t="array" ref="Q136">_xlfn.LET(_xlpm.fullText,A136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137" spans="1:17">
      <c r="A137" s="3" t="s">
        <v>27</v>
      </c>
      <c r="K137" s="4" t="str" cm="1">
        <f t="array" ref="K137">MID(A137,MAX(IFERROR(FIND({"省","市","区","县"},A137),0))+1,FIND("街道",A137)-MAX(IFERROR(FIND({"省","市","区","县"},A137),0))-1+2)</f>
        <v>东海街道</v>
      </c>
      <c r="M137" s="4" t="str" cm="1">
        <f t="array" ref="M137">MID(A137,MAX(IFERROR(FIND({"省"},A137),0),IFERROR(FIND({"市"},A137),0),IFERROR(FIND({"区"},A137),0),IFERROR(FIND({"县"},A137),0))+1,FIND("街道",A137)-MAX(IFERROR(FIND({"省"},A137),0),IFERROR(FIND({"市"},A137),0),IFERROR(FIND({"区"},A137),0),IFERROR(FIND({"县"},A137),0))-1+2)</f>
        <v>东海街道</v>
      </c>
      <c r="O137" s="4" t="str" cm="1">
        <f t="array" ref="O137">_xlfn.LET(_xlpm.fullText,A137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37" s="4" t="str" cm="1">
        <f t="array" ref="Q137">_xlfn.LET(_xlpm.fullText,A137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38" spans="1:17">
      <c r="A138" s="3" t="s">
        <v>82</v>
      </c>
      <c r="K138" s="4" t="str" cm="1">
        <f t="array" ref="K138">MID(A138,MAX(IFERROR(FIND({"省","市","区","县"},A138),0))+1,FIND("街道",A138)-MAX(IFERROR(FIND({"省","市","区","县"},A138),0))-1+2)</f>
        <v>东海街道</v>
      </c>
      <c r="M138" s="4" t="str" cm="1">
        <f t="array" ref="M138">MID(A138,MAX(IFERROR(FIND({"省"},A138),0),IFERROR(FIND({"市"},A138),0),IFERROR(FIND({"区"},A138),0),IFERROR(FIND({"县"},A138),0))+1,FIND("街道",A138)-MAX(IFERROR(FIND({"省"},A138),0),IFERROR(FIND({"市"},A138),0),IFERROR(FIND({"区"},A138),0),IFERROR(FIND({"县"},A138),0))-1+2)</f>
        <v>东海街道</v>
      </c>
      <c r="O138" s="4" t="str" cm="1">
        <f t="array" ref="O138">_xlfn.LET(_xlpm.fullText,A138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38" s="4" t="str" cm="1">
        <f t="array" ref="Q138">_xlfn.LET(_xlpm.fullText,A138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39" spans="1:17">
      <c r="A139" s="3" t="s">
        <v>76</v>
      </c>
      <c r="K139" s="4" t="str" cm="1">
        <f t="array" ref="K139">MID(A139,MAX(IFERROR(FIND({"省","市","区","县"},A139),0))+1,FIND("街道",A139)-MAX(IFERROR(FIND({"省","市","区","县"},A139),0))-1+2)</f>
        <v>殿前街道</v>
      </c>
      <c r="M139" s="4" t="str" cm="1">
        <f t="array" ref="M139">MID(A139,MAX(IFERROR(FIND({"省"},A139),0),IFERROR(FIND({"市"},A139),0),IFERROR(FIND({"区"},A139),0),IFERROR(FIND({"县"},A139),0))+1,FIND("街道",A139)-MAX(IFERROR(FIND({"省"},A139),0),IFERROR(FIND({"市"},A139),0),IFERROR(FIND({"区"},A139),0),IFERROR(FIND({"县"},A139),0))-1+2)</f>
        <v>殿前街道</v>
      </c>
      <c r="O139" s="4" t="str" cm="1">
        <f t="array" ref="O139">_xlfn.LET(_xlpm.fullText,A139,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39" s="4" t="str" cm="1">
        <f t="array" ref="Q139">_xlfn.LET(_xlpm.fullText,A139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40" spans="1:17">
      <c r="A140" s="3" t="s">
        <v>76</v>
      </c>
      <c r="K140" s="4" t="str" cm="1">
        <f t="array" ref="K140">MID(A140,MAX(IFERROR(FIND({"省","市","区","县"},A140),0))+1,FIND("街道",A140)-MAX(IFERROR(FIND({"省","市","区","县"},A140),0))-1+2)</f>
        <v>殿前街道</v>
      </c>
      <c r="M140" s="4" t="str" cm="1">
        <f t="array" ref="M140">MID(A140,MAX(IFERROR(FIND({"省"},A140),0),IFERROR(FIND({"市"},A140),0),IFERROR(FIND({"区"},A140),0),IFERROR(FIND({"县"},A140),0))+1,FIND("街道",A140)-MAX(IFERROR(FIND({"省"},A140),0),IFERROR(FIND({"市"},A140),0),IFERROR(FIND({"区"},A140),0),IFERROR(FIND({"县"},A140),0))-1+2)</f>
        <v>殿前街道</v>
      </c>
      <c r="O140" s="4" t="str" cm="1">
        <f t="array" ref="O140">_xlfn.LET(_xlpm.fullText,A140,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40" s="4" t="str" cm="1">
        <f t="array" ref="Q140">_xlfn.LET(_xlpm.fullText,A140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41" spans="1:17">
      <c r="A141" s="3" t="s">
        <v>27</v>
      </c>
      <c r="K141" s="4" t="str" cm="1">
        <f t="array" ref="K141">MID(A141,MAX(IFERROR(FIND({"省","市","区","县"},A141),0))+1,FIND("街道",A141)-MAX(IFERROR(FIND({"省","市","区","县"},A141),0))-1+2)</f>
        <v>东海街道</v>
      </c>
      <c r="M141" s="4" t="str" cm="1">
        <f t="array" ref="M141">MID(A141,MAX(IFERROR(FIND({"省"},A141),0),IFERROR(FIND({"市"},A141),0),IFERROR(FIND({"区"},A141),0),IFERROR(FIND({"县"},A141),0))+1,FIND("街道",A141)-MAX(IFERROR(FIND({"省"},A141),0),IFERROR(FIND({"市"},A141),0),IFERROR(FIND({"区"},A141),0),IFERROR(FIND({"县"},A141),0))-1+2)</f>
        <v>东海街道</v>
      </c>
      <c r="O141" s="4" t="str" cm="1">
        <f t="array" ref="O141">_xlfn.LET(_xlpm.fullText,A141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41" s="4" t="str" cm="1">
        <f t="array" ref="Q141">_xlfn.LET(_xlpm.fullText,A141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42" spans="1:17">
      <c r="A142" s="3" t="s">
        <v>27</v>
      </c>
      <c r="K142" s="4" t="str" cm="1">
        <f t="array" ref="K142">MID(A142,MAX(IFERROR(FIND({"省","市","区","县"},A142),0))+1,FIND("街道",A142)-MAX(IFERROR(FIND({"省","市","区","县"},A142),0))-1+2)</f>
        <v>东海街道</v>
      </c>
      <c r="M142" s="4" t="str" cm="1">
        <f t="array" ref="M142">MID(A142,MAX(IFERROR(FIND({"省"},A142),0),IFERROR(FIND({"市"},A142),0),IFERROR(FIND({"区"},A142),0),IFERROR(FIND({"县"},A142),0))+1,FIND("街道",A142)-MAX(IFERROR(FIND({"省"},A142),0),IFERROR(FIND({"市"},A142),0),IFERROR(FIND({"区"},A142),0),IFERROR(FIND({"县"},A142),0))-1+2)</f>
        <v>东海街道</v>
      </c>
      <c r="O142" s="4" t="str" cm="1">
        <f t="array" ref="O142">_xlfn.LET(_xlpm.fullText,A142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42" s="4" t="str" cm="1">
        <f t="array" ref="Q142">_xlfn.LET(_xlpm.fullText,A142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43" spans="1:17">
      <c r="A143" s="3" t="s">
        <v>27</v>
      </c>
      <c r="K143" s="4" t="str" cm="1">
        <f t="array" ref="K143">MID(A143,MAX(IFERROR(FIND({"省","市","区","县"},A143),0))+1,FIND("街道",A143)-MAX(IFERROR(FIND({"省","市","区","县"},A143),0))-1+2)</f>
        <v>东海街道</v>
      </c>
      <c r="M143" s="4" t="str" cm="1">
        <f t="array" ref="M143">MID(A143,MAX(IFERROR(FIND({"省"},A143),0),IFERROR(FIND({"市"},A143),0),IFERROR(FIND({"区"},A143),0),IFERROR(FIND({"县"},A143),0))+1,FIND("街道",A143)-MAX(IFERROR(FIND({"省"},A143),0),IFERROR(FIND({"市"},A143),0),IFERROR(FIND({"区"},A143),0),IFERROR(FIND({"县"},A143),0))-1+2)</f>
        <v>东海街道</v>
      </c>
      <c r="O143" s="4" t="str" cm="1">
        <f t="array" ref="O143">_xlfn.LET(_xlpm.fullText,A143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43" s="4" t="str" cm="1">
        <f t="array" ref="Q143">_xlfn.LET(_xlpm.fullText,A143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44" spans="1:17">
      <c r="A144" s="3" t="s">
        <v>83</v>
      </c>
      <c r="K144" s="4" t="str" cm="1">
        <f t="array" ref="K144">MID(A144,MAX(IFERROR(FIND({"省","市","区","县"},A144),0))+1,FIND("街道",A144)-MAX(IFERROR(FIND({"省","市","区","县"},A144),0))-1+2)</f>
        <v>湖里街道</v>
      </c>
      <c r="M144" s="4" t="str" cm="1">
        <f t="array" ref="M144">MID(A144,MAX(IFERROR(FIND({"省"},A144),0),IFERROR(FIND({"市"},A144),0),IFERROR(FIND({"区"},A144),0),IFERROR(FIND({"县"},A144),0))+1,FIND("街道",A144)-MAX(IFERROR(FIND({"省"},A144),0),IFERROR(FIND({"市"},A144),0),IFERROR(FIND({"区"},A144),0),IFERROR(FIND({"县"},A144),0))-1+2)</f>
        <v>湖里街道</v>
      </c>
      <c r="O144" s="4" t="str" cm="1">
        <f t="array" ref="O144">_xlfn.LET(_xlpm.fullText,A144,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44" s="4" t="str" cm="1">
        <f t="array" ref="Q144">_xlfn.LET(_xlpm.fullText,A144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45" spans="1:17">
      <c r="A145" s="3" t="s">
        <v>76</v>
      </c>
      <c r="K145" s="4" t="str" cm="1">
        <f t="array" ref="K145">MID(A145,MAX(IFERROR(FIND({"省","市","区","县"},A145),0))+1,FIND("街道",A145)-MAX(IFERROR(FIND({"省","市","区","县"},A145),0))-1+2)</f>
        <v>殿前街道</v>
      </c>
      <c r="M145" s="4" t="str" cm="1">
        <f t="array" ref="M145">MID(A145,MAX(IFERROR(FIND({"省"},A145),0),IFERROR(FIND({"市"},A145),0),IFERROR(FIND({"区"},A145),0),IFERROR(FIND({"县"},A145),0))+1,FIND("街道",A145)-MAX(IFERROR(FIND({"省"},A145),0),IFERROR(FIND({"市"},A145),0),IFERROR(FIND({"区"},A145),0),IFERROR(FIND({"县"},A145),0))-1+2)</f>
        <v>殿前街道</v>
      </c>
      <c r="O145" s="4" t="str" cm="1">
        <f t="array" ref="O145">_xlfn.LET(_xlpm.fullText,A145,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45" s="4" t="str" cm="1">
        <f t="array" ref="Q145">_xlfn.LET(_xlpm.fullText,A145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46" spans="1:17">
      <c r="A146" s="3" t="s">
        <v>27</v>
      </c>
      <c r="K146" s="4" t="str" cm="1">
        <f t="array" ref="K146">MID(A146,MAX(IFERROR(FIND({"省","市","区","县"},A146),0))+1,FIND("街道",A146)-MAX(IFERROR(FIND({"省","市","区","县"},A146),0))-1+2)</f>
        <v>东海街道</v>
      </c>
      <c r="M146" s="4" t="str" cm="1">
        <f t="array" ref="M146">MID(A146,MAX(IFERROR(FIND({"省"},A146),0),IFERROR(FIND({"市"},A146),0),IFERROR(FIND({"区"},A146),0),IFERROR(FIND({"县"},A146),0))+1,FIND("街道",A146)-MAX(IFERROR(FIND({"省"},A146),0),IFERROR(FIND({"市"},A146),0),IFERROR(FIND({"区"},A146),0),IFERROR(FIND({"县"},A146),0))-1+2)</f>
        <v>东海街道</v>
      </c>
      <c r="O146" s="4" t="str" cm="1">
        <f t="array" ref="O146">_xlfn.LET(_xlpm.fullText,A146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46" s="4" t="str" cm="1">
        <f t="array" ref="Q146">_xlfn.LET(_xlpm.fullText,A146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47" spans="1:17">
      <c r="A147" s="3" t="s">
        <v>28</v>
      </c>
      <c r="K147" s="4" t="str" cm="1">
        <f t="array" ref="K147">MID(A147,MAX(IFERROR(FIND({"省","市","区","县"},A147),0))+1,FIND("街道",A147)-MAX(IFERROR(FIND({"省","市","区","县"},A147),0))-1+2)</f>
        <v>东海街道</v>
      </c>
      <c r="M147" s="4" t="str" cm="1">
        <f t="array" ref="M147">MID(A147,MAX(IFERROR(FIND({"省"},A147),0),IFERROR(FIND({"市"},A147),0),IFERROR(FIND({"区"},A147),0),IFERROR(FIND({"县"},A147),0))+1,FIND("街道",A147)-MAX(IFERROR(FIND({"省"},A147),0),IFERROR(FIND({"市"},A147),0),IFERROR(FIND({"区"},A147),0),IFERROR(FIND({"县"},A147),0))-1+2)</f>
        <v>东海街道</v>
      </c>
      <c r="O147" s="4" t="str" cm="1">
        <f t="array" ref="O147">_xlfn.LET(_xlpm.fullText,A147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47" s="4" t="str" cm="1">
        <f t="array" ref="Q147">_xlfn.LET(_xlpm.fullText,A147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48" spans="1:17">
      <c r="A148" s="3" t="s">
        <v>84</v>
      </c>
      <c r="K148" s="4" t="str" cm="1">
        <f t="array" ref="K148">MID(A148,MAX(IFERROR(FIND({"省","市","区","县"},A148),0))+1,FIND("街道",A148)-MAX(IFERROR(FIND({"省","市","区","县"},A148),0))-1+2)</f>
        <v>禾山街道</v>
      </c>
      <c r="M148" s="4" t="str" cm="1">
        <f t="array" ref="M148">MID(A148,MAX(IFERROR(FIND({"省"},A148),0),IFERROR(FIND({"市"},A148),0),IFERROR(FIND({"区"},A148),0),IFERROR(FIND({"县"},A148),0))+1,FIND("街道",A148)-MAX(IFERROR(FIND({"省"},A148),0),IFERROR(FIND({"市"},A148),0),IFERROR(FIND({"区"},A148),0),IFERROR(FIND({"县"},A148),0))-1+2)</f>
        <v>禾山街道</v>
      </c>
      <c r="O148" s="4" t="str" cm="1">
        <f t="array" ref="O148">_xlfn.LET(_xlpm.fullText,A148,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148" s="4" t="str" cm="1">
        <f t="array" ref="Q148">_xlfn.LET(_xlpm.fullText,A148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149" spans="1:17">
      <c r="A149" s="3" t="s">
        <v>84</v>
      </c>
      <c r="K149" s="4" t="str" cm="1">
        <f t="array" ref="K149">MID(A149,MAX(IFERROR(FIND({"省","市","区","县"},A149),0))+1,FIND("街道",A149)-MAX(IFERROR(FIND({"省","市","区","县"},A149),0))-1+2)</f>
        <v>禾山街道</v>
      </c>
      <c r="M149" s="4" t="str" cm="1">
        <f t="array" ref="M149">MID(A149,MAX(IFERROR(FIND({"省"},A149),0),IFERROR(FIND({"市"},A149),0),IFERROR(FIND({"区"},A149),0),IFERROR(FIND({"县"},A149),0))+1,FIND("街道",A149)-MAX(IFERROR(FIND({"省"},A149),0),IFERROR(FIND({"市"},A149),0),IFERROR(FIND({"区"},A149),0),IFERROR(FIND({"县"},A149),0))-1+2)</f>
        <v>禾山街道</v>
      </c>
      <c r="O149" s="4" t="str" cm="1">
        <f t="array" ref="O149">_xlfn.LET(_xlpm.fullText,A149,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149" s="4" t="str" cm="1">
        <f t="array" ref="Q149">_xlfn.LET(_xlpm.fullText,A149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150" spans="1:17">
      <c r="A150" s="3" t="s">
        <v>27</v>
      </c>
      <c r="K150" s="4" t="str" cm="1">
        <f t="array" ref="K150">MID(A150,MAX(IFERROR(FIND({"省","市","区","县"},A150),0))+1,FIND("街道",A150)-MAX(IFERROR(FIND({"省","市","区","县"},A150),0))-1+2)</f>
        <v>东海街道</v>
      </c>
      <c r="M150" s="4" t="str" cm="1">
        <f t="array" ref="M150">MID(A150,MAX(IFERROR(FIND({"省"},A150),0),IFERROR(FIND({"市"},A150),0),IFERROR(FIND({"区"},A150),0),IFERROR(FIND({"县"},A150),0))+1,FIND("街道",A150)-MAX(IFERROR(FIND({"省"},A150),0),IFERROR(FIND({"市"},A150),0),IFERROR(FIND({"区"},A150),0),IFERROR(FIND({"县"},A150),0))-1+2)</f>
        <v>东海街道</v>
      </c>
      <c r="O150" s="4" t="str" cm="1">
        <f t="array" ref="O150">_xlfn.LET(_xlpm.fullText,A150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50" s="4" t="str" cm="1">
        <f t="array" ref="Q150">_xlfn.LET(_xlpm.fullText,A150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51" spans="1:17">
      <c r="A151" s="3" t="s">
        <v>85</v>
      </c>
      <c r="K151" s="4" t="str" cm="1">
        <f t="array" ref="K151">MID(A151,MAX(IFERROR(FIND({"省","市","区","县"},A151),0))+1,FIND("街道",A151)-MAX(IFERROR(FIND({"省","市","区","县"},A151),0))-1+2)</f>
        <v>集美街道</v>
      </c>
      <c r="M151" s="4" t="str" cm="1">
        <f t="array" ref="M151">MID(A151,MAX(IFERROR(FIND({"省"},A151),0),IFERROR(FIND({"市"},A151),0),IFERROR(FIND({"区"},A151),0),IFERROR(FIND({"县"},A151),0))+1,FIND("街道",A151)-MAX(IFERROR(FIND({"省"},A151),0),IFERROR(FIND({"市"},A151),0),IFERROR(FIND({"区"},A151),0),IFERROR(FIND({"县"},A151),0))-1+2)</f>
        <v>集美街道</v>
      </c>
      <c r="O151" s="4" t="str" cm="1">
        <f t="array" ref="O151">_xlfn.LET(_xlpm.fullText,A151,_xlpm.streetPos,FIND("街道",_xlpm.fullText)+2,_xlpm.prefixText,LEFT(_xlpm.fullText,_xlpm.streetPos-1),_xlpm.adminPos,MAX(IFERROR(FIND({"省","市","区","县"},_xlpm.prefixText),0)),IF(_xlpm.adminPos&gt;0,MID(_xlpm.prefixText,_xlpm.adminPos+1,_xlpm.streetPos-_xlpm.adminPos-3+2),LEFT(_xlpm.prefixText,FIND("街道",_xlpm.prefixText)-1+2)))</f>
        <v>集美街道</v>
      </c>
      <c r="Q151" s="4" t="str" cm="1">
        <f t="array" ref="Q151">_xlfn.LET(_xlpm.fullText,A151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集美街道</v>
      </c>
    </row>
    <row r="152" spans="1:17">
      <c r="A152" s="3" t="s">
        <v>86</v>
      </c>
      <c r="K152" s="4" t="str" cm="1">
        <f t="array" ref="K152">MID(A152,MAX(IFERROR(FIND({"省","市","区","县"},A152),0))+1,FIND("街道",A152)-MAX(IFERROR(FIND({"省","市","区","县"},A152),0))-1+2)</f>
        <v>湖里街道</v>
      </c>
      <c r="M152" s="4" t="str" cm="1">
        <f t="array" ref="M152">MID(A152,MAX(IFERROR(FIND({"省"},A152),0),IFERROR(FIND({"市"},A152),0),IFERROR(FIND({"区"},A152),0),IFERROR(FIND({"县"},A152),0))+1,FIND("街道",A152)-MAX(IFERROR(FIND({"省"},A152),0),IFERROR(FIND({"市"},A152),0),IFERROR(FIND({"区"},A152),0),IFERROR(FIND({"县"},A152),0))-1+2)</f>
        <v>湖里街道</v>
      </c>
      <c r="O152" s="4" t="str" cm="1">
        <f t="array" ref="O152">_xlfn.LET(_xlpm.fullText,A152,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52" s="4" t="str" cm="1">
        <f t="array" ref="Q152">_xlfn.LET(_xlpm.fullText,A152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53" spans="1:17">
      <c r="A153" s="3" t="s">
        <v>27</v>
      </c>
      <c r="K153" s="4" t="str" cm="1">
        <f t="array" ref="K153">MID(A153,MAX(IFERROR(FIND({"省","市","区","县"},A153),0))+1,FIND("街道",A153)-MAX(IFERROR(FIND({"省","市","区","县"},A153),0))-1+2)</f>
        <v>东海街道</v>
      </c>
      <c r="M153" s="4" t="str" cm="1">
        <f t="array" ref="M153">MID(A153,MAX(IFERROR(FIND({"省"},A153),0),IFERROR(FIND({"市"},A153),0),IFERROR(FIND({"区"},A153),0),IFERROR(FIND({"县"},A153),0))+1,FIND("街道",A153)-MAX(IFERROR(FIND({"省"},A153),0),IFERROR(FIND({"市"},A153),0),IFERROR(FIND({"区"},A153),0),IFERROR(FIND({"县"},A153),0))-1+2)</f>
        <v>东海街道</v>
      </c>
      <c r="O153" s="4" t="str" cm="1">
        <f t="array" ref="O153">_xlfn.LET(_xlpm.fullText,A153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53" s="4" t="str" cm="1">
        <f t="array" ref="Q153">_xlfn.LET(_xlpm.fullText,A153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54" spans="1:17">
      <c r="A154" s="3" t="s">
        <v>27</v>
      </c>
      <c r="K154" s="4" t="str" cm="1">
        <f t="array" ref="K154">MID(A154,MAX(IFERROR(FIND({"省","市","区","县"},A154),0))+1,FIND("街道",A154)-MAX(IFERROR(FIND({"省","市","区","县"},A154),0))-1+2)</f>
        <v>东海街道</v>
      </c>
      <c r="M154" s="4" t="str" cm="1">
        <f t="array" ref="M154">MID(A154,MAX(IFERROR(FIND({"省"},A154),0),IFERROR(FIND({"市"},A154),0),IFERROR(FIND({"区"},A154),0),IFERROR(FIND({"县"},A154),0))+1,FIND("街道",A154)-MAX(IFERROR(FIND({"省"},A154),0),IFERROR(FIND({"市"},A154),0),IFERROR(FIND({"区"},A154),0),IFERROR(FIND({"县"},A154),0))-1+2)</f>
        <v>东海街道</v>
      </c>
      <c r="O154" s="4" t="str" cm="1">
        <f t="array" ref="O154">_xlfn.LET(_xlpm.fullText,A154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54" s="4" t="str" cm="1">
        <f t="array" ref="Q154">_xlfn.LET(_xlpm.fullText,A154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55" spans="1:17">
      <c r="A155" s="3" t="s">
        <v>27</v>
      </c>
      <c r="K155" s="4" t="str" cm="1">
        <f t="array" ref="K155">MID(A155,MAX(IFERROR(FIND({"省","市","区","县"},A155),0))+1,FIND("街道",A155)-MAX(IFERROR(FIND({"省","市","区","县"},A155),0))-1+2)</f>
        <v>东海街道</v>
      </c>
      <c r="M155" s="4" t="str" cm="1">
        <f t="array" ref="M155">MID(A155,MAX(IFERROR(FIND({"省"},A155),0),IFERROR(FIND({"市"},A155),0),IFERROR(FIND({"区"},A155),0),IFERROR(FIND({"县"},A155),0))+1,FIND("街道",A155)-MAX(IFERROR(FIND({"省"},A155),0),IFERROR(FIND({"市"},A155),0),IFERROR(FIND({"区"},A155),0),IFERROR(FIND({"县"},A155),0))-1+2)</f>
        <v>东海街道</v>
      </c>
      <c r="O155" s="4" t="str" cm="1">
        <f t="array" ref="O155">_xlfn.LET(_xlpm.fullText,A155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55" s="4" t="str" cm="1">
        <f t="array" ref="Q155">_xlfn.LET(_xlpm.fullText,A155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56" spans="1:17">
      <c r="A156" s="3" t="s">
        <v>87</v>
      </c>
      <c r="K156" s="4" t="str" cm="1">
        <f t="array" ref="K156">MID(A156,MAX(IFERROR(FIND({"省","市","区","县"},A156),0))+1,FIND("街道",A156)-MAX(IFERROR(FIND({"省","市","区","县"},A156),0))-1+2)</f>
        <v>东海街道</v>
      </c>
      <c r="M156" s="4" t="str" cm="1">
        <f t="array" ref="M156">MID(A156,MAX(IFERROR(FIND({"省"},A156),0),IFERROR(FIND({"市"},A156),0),IFERROR(FIND({"区"},A156),0),IFERROR(FIND({"县"},A156),0))+1,FIND("街道",A156)-MAX(IFERROR(FIND({"省"},A156),0),IFERROR(FIND({"市"},A156),0),IFERROR(FIND({"区"},A156),0),IFERROR(FIND({"县"},A156),0))-1+2)</f>
        <v>东海街道</v>
      </c>
      <c r="O156" s="4" t="str" cm="1">
        <f t="array" ref="O156">_xlfn.LET(_xlpm.fullText,A156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56" s="4" t="str" cm="1">
        <f t="array" ref="Q156">_xlfn.LET(_xlpm.fullText,A156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57" spans="1:17">
      <c r="A157" s="3" t="s">
        <v>81</v>
      </c>
      <c r="K157" s="4" t="str" cm="1">
        <f t="array" ref="K157">MID(A157,MAX(IFERROR(FIND({"省","市","区","县"},A157),0))+1,FIND("街道",A157)-MAX(IFERROR(FIND({"省","市","区","县"},A157),0))-1+2)</f>
        <v>城东街道</v>
      </c>
      <c r="M157" s="4" t="str" cm="1">
        <f t="array" ref="M157">MID(A157,MAX(IFERROR(FIND({"省"},A157),0),IFERROR(FIND({"市"},A157),0),IFERROR(FIND({"区"},A157),0),IFERROR(FIND({"县"},A157),0))+1,FIND("街道",A157)-MAX(IFERROR(FIND({"省"},A157),0),IFERROR(FIND({"市"},A157),0),IFERROR(FIND({"区"},A157),0),IFERROR(FIND({"县"},A157),0))-1+2)</f>
        <v>城东街道</v>
      </c>
      <c r="O157" s="4" t="str" cm="1">
        <f t="array" ref="O157">_xlfn.LET(_xlpm.fullText,A157,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157" s="4" t="str" cm="1">
        <f t="array" ref="Q157">_xlfn.LET(_xlpm.fullText,A157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158" spans="1:17">
      <c r="A158" s="3" t="s">
        <v>88</v>
      </c>
      <c r="K158" s="4" t="str" cm="1">
        <f t="array" ref="K158">MID(A158,MAX(IFERROR(FIND({"省","市","区","县"},A158),0))+1,FIND("街道",A158)-MAX(IFERROR(FIND({"省","市","区","县"},A158),0))-1+2)</f>
        <v>东海街道</v>
      </c>
      <c r="M158" s="4" t="str" cm="1">
        <f t="array" ref="M158">MID(A158,MAX(IFERROR(FIND({"省"},A158),0),IFERROR(FIND({"市"},A158),0),IFERROR(FIND({"区"},A158),0),IFERROR(FIND({"县"},A158),0))+1,FIND("街道",A158)-MAX(IFERROR(FIND({"省"},A158),0),IFERROR(FIND({"市"},A158),0),IFERROR(FIND({"区"},A158),0),IFERROR(FIND({"县"},A158),0))-1+2)</f>
        <v>东海街道</v>
      </c>
      <c r="O158" s="4" t="str" cm="1">
        <f t="array" ref="O158">_xlfn.LET(_xlpm.fullText,A158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58" s="4" t="str" cm="1">
        <f t="array" ref="Q158">_xlfn.LET(_xlpm.fullText,A158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59" spans="1:17">
      <c r="A159" s="3" t="s">
        <v>68</v>
      </c>
      <c r="K159" s="4" t="str" cm="1">
        <f t="array" ref="K159">MID(A159,MAX(IFERROR(FIND({"省","市","区","县"},A159),0))+1,FIND("街道",A159)-MAX(IFERROR(FIND({"省","市","区","县"},A159),0))-1+2)</f>
        <v>湖里街道</v>
      </c>
      <c r="M159" s="4" t="str" cm="1">
        <f t="array" ref="M159">MID(A159,MAX(IFERROR(FIND({"省"},A159),0),IFERROR(FIND({"市"},A159),0),IFERROR(FIND({"区"},A159),0),IFERROR(FIND({"县"},A159),0))+1,FIND("街道",A159)-MAX(IFERROR(FIND({"省"},A159),0),IFERROR(FIND({"市"},A159),0),IFERROR(FIND({"区"},A159),0),IFERROR(FIND({"县"},A159),0))-1+2)</f>
        <v>湖里街道</v>
      </c>
      <c r="O159" s="4" t="str" cm="1">
        <f t="array" ref="O159">_xlfn.LET(_xlpm.fullText,A159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59" s="4" t="str" cm="1">
        <f t="array" ref="Q159">_xlfn.LET(_xlpm.fullText,A159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60" spans="1:17">
      <c r="A160" s="3" t="s">
        <v>76</v>
      </c>
      <c r="K160" s="4" t="str" cm="1">
        <f t="array" ref="K160">MID(A160,MAX(IFERROR(FIND({"省","市","区","县"},A160),0))+1,FIND("街道",A160)-MAX(IFERROR(FIND({"省","市","区","县"},A160),0))-1+2)</f>
        <v>殿前街道</v>
      </c>
      <c r="M160" s="4" t="str" cm="1">
        <f t="array" ref="M160">MID(A160,MAX(IFERROR(FIND({"省"},A160),0),IFERROR(FIND({"市"},A160),0),IFERROR(FIND({"区"},A160),0),IFERROR(FIND({"县"},A160),0))+1,FIND("街道",A160)-MAX(IFERROR(FIND({"省"},A160),0),IFERROR(FIND({"市"},A160),0),IFERROR(FIND({"区"},A160),0),IFERROR(FIND({"县"},A160),0))-1+2)</f>
        <v>殿前街道</v>
      </c>
      <c r="O160" s="4" t="str" cm="1">
        <f t="array" ref="O160">_xlfn.LET(_xlpm.fullText,A160,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60" s="4" t="str" cm="1">
        <f t="array" ref="Q160">_xlfn.LET(_xlpm.fullText,A160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61" spans="1:17">
      <c r="A161" s="3" t="s">
        <v>68</v>
      </c>
      <c r="K161" s="4" t="str" cm="1">
        <f t="array" ref="K161">MID(A161,MAX(IFERROR(FIND({"省","市","区","县"},A161),0))+1,FIND("街道",A161)-MAX(IFERROR(FIND({"省","市","区","县"},A161),0))-1+2)</f>
        <v>湖里街道</v>
      </c>
      <c r="M161" s="4" t="str" cm="1">
        <f t="array" ref="M161">MID(A161,MAX(IFERROR(FIND({"省"},A161),0),IFERROR(FIND({"市"},A161),0),IFERROR(FIND({"区"},A161),0),IFERROR(FIND({"县"},A161),0))+1,FIND("街道",A161)-MAX(IFERROR(FIND({"省"},A161),0),IFERROR(FIND({"市"},A161),0),IFERROR(FIND({"区"},A161),0),IFERROR(FIND({"县"},A161),0))-1+2)</f>
        <v>湖里街道</v>
      </c>
      <c r="O161" s="4" t="str" cm="1">
        <f t="array" ref="O161">_xlfn.LET(_xlpm.fullText,A161,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61" s="4" t="str" cm="1">
        <f t="array" ref="Q161">_xlfn.LET(_xlpm.fullText,A161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62" spans="1:17">
      <c r="A162" s="3" t="s">
        <v>68</v>
      </c>
      <c r="K162" s="4" t="str" cm="1">
        <f t="array" ref="K162">MID(A162,MAX(IFERROR(FIND({"省","市","区","县"},A162),0))+1,FIND("街道",A162)-MAX(IFERROR(FIND({"省","市","区","县"},A162),0))-1+2)</f>
        <v>湖里街道</v>
      </c>
      <c r="M162" s="4" t="str" cm="1">
        <f t="array" ref="M162">MID(A162,MAX(IFERROR(FIND({"省"},A162),0),IFERROR(FIND({"市"},A162),0),IFERROR(FIND({"区"},A162),0),IFERROR(FIND({"县"},A162),0))+1,FIND("街道",A162)-MAX(IFERROR(FIND({"省"},A162),0),IFERROR(FIND({"市"},A162),0),IFERROR(FIND({"区"},A162),0),IFERROR(FIND({"县"},A162),0))-1+2)</f>
        <v>湖里街道</v>
      </c>
      <c r="O162" s="4" t="str" cm="1">
        <f t="array" ref="O162">_xlfn.LET(_xlpm.fullText,A162,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62" s="4" t="str" cm="1">
        <f t="array" ref="Q162">_xlfn.LET(_xlpm.fullText,A162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63" spans="1:17">
      <c r="A163" s="3" t="s">
        <v>27</v>
      </c>
      <c r="K163" s="4" t="str" cm="1">
        <f t="array" ref="K163">MID(A163,MAX(IFERROR(FIND({"省","市","区","县"},A163),0))+1,FIND("街道",A163)-MAX(IFERROR(FIND({"省","市","区","县"},A163),0))-1+2)</f>
        <v>东海街道</v>
      </c>
      <c r="M163" s="4" t="str" cm="1">
        <f t="array" ref="M163">MID(A163,MAX(IFERROR(FIND({"省"},A163),0),IFERROR(FIND({"市"},A163),0),IFERROR(FIND({"区"},A163),0),IFERROR(FIND({"县"},A163),0))+1,FIND("街道",A163)-MAX(IFERROR(FIND({"省"},A163),0),IFERROR(FIND({"市"},A163),0),IFERROR(FIND({"区"},A163),0),IFERROR(FIND({"县"},A163),0))-1+2)</f>
        <v>东海街道</v>
      </c>
      <c r="O163" s="4" t="str" cm="1">
        <f t="array" ref="O163">_xlfn.LET(_xlpm.fullText,A163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63" s="4" t="str" cm="1">
        <f t="array" ref="Q163">_xlfn.LET(_xlpm.fullText,A163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64" spans="1:17">
      <c r="A164" s="3" t="s">
        <v>27</v>
      </c>
      <c r="K164" s="4" t="str" cm="1">
        <f t="array" ref="K164">MID(A164,MAX(IFERROR(FIND({"省","市","区","县"},A164),0))+1,FIND("街道",A164)-MAX(IFERROR(FIND({"省","市","区","县"},A164),0))-1+2)</f>
        <v>东海街道</v>
      </c>
      <c r="M164" s="4" t="str" cm="1">
        <f t="array" ref="M164">MID(A164,MAX(IFERROR(FIND({"省"},A164),0),IFERROR(FIND({"市"},A164),0),IFERROR(FIND({"区"},A164),0),IFERROR(FIND({"县"},A164),0))+1,FIND("街道",A164)-MAX(IFERROR(FIND({"省"},A164),0),IFERROR(FIND({"市"},A164),0),IFERROR(FIND({"区"},A164),0),IFERROR(FIND({"县"},A164),0))-1+2)</f>
        <v>东海街道</v>
      </c>
      <c r="O164" s="4" t="str" cm="1">
        <f t="array" ref="O164">_xlfn.LET(_xlpm.fullText,A164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64" s="4" t="str" cm="1">
        <f t="array" ref="Q164">_xlfn.LET(_xlpm.fullText,A164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65" spans="1:17">
      <c r="A165" s="3" t="s">
        <v>89</v>
      </c>
      <c r="K165" s="4" t="str" cm="1">
        <f t="array" ref="K165">MID(A165,MAX(IFERROR(FIND({"省","市","区","县"},A165),0))+1,FIND("街道",A165)-MAX(IFERROR(FIND({"省","市","区","县"},A165),0))-1+2)</f>
        <v>杏林街道</v>
      </c>
      <c r="M165" s="4" t="str" cm="1">
        <f t="array" ref="M165">MID(A165,MAX(IFERROR(FIND({"省"},A165),0),IFERROR(FIND({"市"},A165),0),IFERROR(FIND({"区"},A165),0),IFERROR(FIND({"县"},A165),0))+1,FIND("街道",A165)-MAX(IFERROR(FIND({"省"},A165),0),IFERROR(FIND({"市"},A165),0),IFERROR(FIND({"区"},A165),0),IFERROR(FIND({"县"},A165),0))-1+2)</f>
        <v>杏林街道</v>
      </c>
      <c r="O165" s="4" t="str" cm="1">
        <f t="array" ref="O165">_xlfn.LET(_xlpm.fullText,A165,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165" s="4" t="str" cm="1">
        <f t="array" ref="Q165">_xlfn.LET(_xlpm.fullText,A165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166" spans="1:17">
      <c r="A166" s="3" t="s">
        <v>90</v>
      </c>
      <c r="K166" s="4" t="str" cm="1">
        <f t="array" ref="K166">MID(A166,MAX(IFERROR(FIND({"省","市","区","县"},A166),0))+1,FIND("街道",A166)-MAX(IFERROR(FIND({"省","市","区","县"},A166),0))-1+2)</f>
        <v>湖里街道</v>
      </c>
      <c r="M166" s="4" t="str" cm="1">
        <f t="array" ref="M166">MID(A166,MAX(IFERROR(FIND({"省"},A166),0),IFERROR(FIND({"市"},A166),0),IFERROR(FIND({"区"},A166),0),IFERROR(FIND({"县"},A166),0))+1,FIND("街道",A166)-MAX(IFERROR(FIND({"省"},A166),0),IFERROR(FIND({"市"},A166),0),IFERROR(FIND({"区"},A166),0),IFERROR(FIND({"县"},A166),0))-1+2)</f>
        <v>湖里街道</v>
      </c>
      <c r="O166" s="4" t="str" cm="1">
        <f t="array" ref="O166">_xlfn.LET(_xlpm.fullText,A166,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66" s="4" t="str" cm="1">
        <f t="array" ref="Q166">_xlfn.LET(_xlpm.fullText,A166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67" spans="1:17">
      <c r="A167" s="3" t="s">
        <v>91</v>
      </c>
      <c r="K167" s="4" t="str" cm="1">
        <f t="array" ref="K167">MID(A167,MAX(IFERROR(FIND({"省","市","区","县"},A167),0))+1,FIND("街道",A167)-MAX(IFERROR(FIND({"省","市","区","县"},A167),0))-1+2)</f>
        <v>陈江街道</v>
      </c>
      <c r="M167" s="4" t="str" cm="1">
        <f t="array" ref="M167">MID(A167,MAX(IFERROR(FIND({"省"},A167),0),IFERROR(FIND({"市"},A167),0),IFERROR(FIND({"区"},A167),0),IFERROR(FIND({"县"},A167),0))+1,FIND("街道",A167)-MAX(IFERROR(FIND({"省"},A167),0),IFERROR(FIND({"市"},A167),0),IFERROR(FIND({"区"},A167),0),IFERROR(FIND({"县"},A167),0))-1+2)</f>
        <v>陈江街道</v>
      </c>
      <c r="O167" s="4" t="str" cm="1">
        <f t="array" ref="O167">_xlfn.LET(_xlpm.fullText,A167,_xlpm.streetPos,FIND("街道",_xlpm.fullText)+2,_xlpm.prefixText,LEFT(_xlpm.fullText,_xlpm.streetPos-1),_xlpm.adminPos,MAX(IFERROR(FIND({"省","市","区","县"},_xlpm.prefixText),0)),IF(_xlpm.adminPos&gt;0,MID(_xlpm.prefixText,_xlpm.adminPos+1,_xlpm.streetPos-_xlpm.adminPos-3+2),LEFT(_xlpm.prefixText,FIND("街道",_xlpm.prefixText)-1+2)))</f>
        <v>陈江街道</v>
      </c>
      <c r="Q167" s="4" t="str" cm="1">
        <f t="array" ref="Q167">_xlfn.LET(_xlpm.fullText,A167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陈江街道</v>
      </c>
    </row>
    <row r="168" spans="1:17">
      <c r="A168" s="3" t="s">
        <v>92</v>
      </c>
      <c r="K168" s="4" t="str" cm="1">
        <f t="array" ref="K168">MID(A168,MAX(IFERROR(FIND({"省","市","区","县"},A168),0))+1,FIND("街道",A168)-MAX(IFERROR(FIND({"省","市","区","县"},A168),0))-1+2)</f>
        <v>湖里街道</v>
      </c>
      <c r="M168" s="4" t="str" cm="1">
        <f t="array" ref="M168">MID(A168,MAX(IFERROR(FIND({"省"},A168),0),IFERROR(FIND({"市"},A168),0),IFERROR(FIND({"区"},A168),0),IFERROR(FIND({"县"},A168),0))+1,FIND("街道",A168)-MAX(IFERROR(FIND({"省"},A168),0),IFERROR(FIND({"市"},A168),0),IFERROR(FIND({"区"},A168),0),IFERROR(FIND({"县"},A168),0))-1+2)</f>
        <v>湖里街道</v>
      </c>
      <c r="O168" s="4" t="str" cm="1">
        <f t="array" ref="O168">_xlfn.LET(_xlpm.fullText,A168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68" s="4" t="str" cm="1">
        <f t="array" ref="Q168">_xlfn.LET(_xlpm.fullText,A168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69" spans="1:17">
      <c r="A169" s="3" t="s">
        <v>93</v>
      </c>
      <c r="K169" s="4" t="str" cm="1">
        <f t="array" ref="K169">MID(A169,MAX(IFERROR(FIND({"省","市","区","县"},A169),0))+1,FIND("街道",A169)-MAX(IFERROR(FIND({"省","市","区","县"},A169),0))-1+2)</f>
        <v>湖里街道</v>
      </c>
      <c r="M169" s="4" t="str" cm="1">
        <f t="array" ref="M169">MID(A169,MAX(IFERROR(FIND({"省"},A169),0),IFERROR(FIND({"市"},A169),0),IFERROR(FIND({"区"},A169),0),IFERROR(FIND({"县"},A169),0))+1,FIND("街道",A169)-MAX(IFERROR(FIND({"省"},A169),0),IFERROR(FIND({"市"},A169),0),IFERROR(FIND({"区"},A169),0),IFERROR(FIND({"县"},A169),0))-1+2)</f>
        <v>湖里街道</v>
      </c>
      <c r="O169" s="4" t="str" cm="1">
        <f t="array" ref="O169">_xlfn.LET(_xlpm.fullText,A169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69" s="4" t="str" cm="1">
        <f t="array" ref="Q169">_xlfn.LET(_xlpm.fullText,A169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70" spans="1:17">
      <c r="A170" s="3" t="s">
        <v>94</v>
      </c>
      <c r="K170" s="4" t="str" cm="1">
        <f t="array" ref="K170">MID(A170,MAX(IFERROR(FIND({"省","市","区","县"},A170),0))+1,FIND("街道",A170)-MAX(IFERROR(FIND({"省","市","区","县"},A170),0))-1+2)</f>
        <v>殿前街道</v>
      </c>
      <c r="M170" s="4" t="str" cm="1">
        <f t="array" ref="M170">MID(A170,MAX(IFERROR(FIND({"省"},A170),0),IFERROR(FIND({"市"},A170),0),IFERROR(FIND({"区"},A170),0),IFERROR(FIND({"县"},A170),0))+1,FIND("街道",A170)-MAX(IFERROR(FIND({"省"},A170),0),IFERROR(FIND({"市"},A170),0),IFERROR(FIND({"区"},A170),0),IFERROR(FIND({"县"},A170),0))-1+2)</f>
        <v>殿前街道</v>
      </c>
      <c r="O170" s="4" t="str" cm="1">
        <f t="array" ref="O170">_xlfn.LET(_xlpm.fullText,A170,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70" s="4" t="str" cm="1">
        <f t="array" ref="Q170">_xlfn.LET(_xlpm.fullText,A170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71" spans="1:17">
      <c r="A171" s="3" t="s">
        <v>27</v>
      </c>
      <c r="K171" s="4" t="str" cm="1">
        <f t="array" ref="K171">MID(A171,MAX(IFERROR(FIND({"省","市","区","县"},A171),0))+1,FIND("街道",A171)-MAX(IFERROR(FIND({"省","市","区","县"},A171),0))-1+2)</f>
        <v>东海街道</v>
      </c>
      <c r="M171" s="4" t="str" cm="1">
        <f t="array" ref="M171">MID(A171,MAX(IFERROR(FIND({"省"},A171),0),IFERROR(FIND({"市"},A171),0),IFERROR(FIND({"区"},A171),0),IFERROR(FIND({"县"},A171),0))+1,FIND("街道",A171)-MAX(IFERROR(FIND({"省"},A171),0),IFERROR(FIND({"市"},A171),0),IFERROR(FIND({"区"},A171),0),IFERROR(FIND({"县"},A171),0))-1+2)</f>
        <v>东海街道</v>
      </c>
      <c r="O171" s="4" t="str" cm="1">
        <f t="array" ref="O171">_xlfn.LET(_xlpm.fullText,A171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71" s="4" t="str" cm="1">
        <f t="array" ref="Q171">_xlfn.LET(_xlpm.fullText,A171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72" spans="1:17">
      <c r="A172" s="3" t="s">
        <v>27</v>
      </c>
      <c r="K172" s="4" t="str" cm="1">
        <f t="array" ref="K172">MID(A172,MAX(IFERROR(FIND({"省","市","区","县"},A172),0))+1,FIND("街道",A172)-MAX(IFERROR(FIND({"省","市","区","县"},A172),0))-1+2)</f>
        <v>东海街道</v>
      </c>
      <c r="M172" s="4" t="str" cm="1">
        <f t="array" ref="M172">MID(A172,MAX(IFERROR(FIND({"省"},A172),0),IFERROR(FIND({"市"},A172),0),IFERROR(FIND({"区"},A172),0),IFERROR(FIND({"县"},A172),0))+1,FIND("街道",A172)-MAX(IFERROR(FIND({"省"},A172),0),IFERROR(FIND({"市"},A172),0),IFERROR(FIND({"区"},A172),0),IFERROR(FIND({"县"},A172),0))-1+2)</f>
        <v>东海街道</v>
      </c>
      <c r="O172" s="4" t="str" cm="1">
        <f t="array" ref="O172">_xlfn.LET(_xlpm.fullText,A172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72" s="4" t="str" cm="1">
        <f t="array" ref="Q172">_xlfn.LET(_xlpm.fullText,A172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73" spans="1:17">
      <c r="A173" s="3" t="s">
        <v>95</v>
      </c>
      <c r="K173" s="4" t="str" cm="1">
        <f t="array" ref="K173">MID(A173,MAX(IFERROR(FIND({"省","市","区","县"},A173),0))+1,FIND("街道",A173)-MAX(IFERROR(FIND({"省","市","区","县"},A173),0))-1+2)</f>
        <v>梧村街道</v>
      </c>
      <c r="M173" s="4" t="str" cm="1">
        <f t="array" ref="M173">MID(A173,MAX(IFERROR(FIND({"省"},A173),0),IFERROR(FIND({"市"},A173),0),IFERROR(FIND({"区"},A173),0),IFERROR(FIND({"县"},A173),0))+1,FIND("街道",A173)-MAX(IFERROR(FIND({"省"},A173),0),IFERROR(FIND({"市"},A173),0),IFERROR(FIND({"区"},A173),0),IFERROR(FIND({"县"},A173),0))-1+2)</f>
        <v>梧村街道</v>
      </c>
      <c r="O173" s="4" t="str" cm="1">
        <f t="array" ref="O173">_xlfn.LET(_xlpm.fullText,A173,_xlpm.streetPos,FIND("街道",_xlpm.fullText)+2,_xlpm.prefixText,LEFT(_xlpm.fullText,_xlpm.streetPos-1),_xlpm.adminPos,MAX(IFERROR(FIND({"省","市","区","县"},_xlpm.prefixText),0)),IF(_xlpm.adminPos&gt;0,MID(_xlpm.prefixText,_xlpm.adminPos+1,_xlpm.streetPos-_xlpm.adminPos-3+2),LEFT(_xlpm.prefixText,FIND("街道",_xlpm.prefixText)-1+2)))</f>
        <v>梧村街道</v>
      </c>
      <c r="Q173" s="4" t="str" cm="1">
        <f t="array" ref="Q173">_xlfn.LET(_xlpm.fullText,A173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梧村街道</v>
      </c>
    </row>
    <row r="174" spans="1:17">
      <c r="A174" s="3" t="s">
        <v>96</v>
      </c>
      <c r="K174" s="4" t="str" cm="1">
        <f t="array" ref="K174">MID(A174,MAX(IFERROR(FIND({"省","市","区","县"},A174),0))+1,FIND("街道",A174)-MAX(IFERROR(FIND({"省","市","区","县"},A174),0))-1+2)</f>
        <v>殿前街道</v>
      </c>
      <c r="M174" s="4" t="str" cm="1">
        <f t="array" ref="M174">MID(A174,MAX(IFERROR(FIND({"省"},A174),0),IFERROR(FIND({"市"},A174),0),IFERROR(FIND({"区"},A174),0),IFERROR(FIND({"县"},A174),0))+1,FIND("街道",A174)-MAX(IFERROR(FIND({"省"},A174),0),IFERROR(FIND({"市"},A174),0),IFERROR(FIND({"区"},A174),0),IFERROR(FIND({"县"},A174),0))-1+2)</f>
        <v>殿前街道</v>
      </c>
      <c r="O174" s="4" t="str" cm="1">
        <f t="array" ref="O174">_xlfn.LET(_xlpm.fullText,A174,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74" s="4" t="str" cm="1">
        <f t="array" ref="Q174">_xlfn.LET(_xlpm.fullText,A174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75" spans="1:17">
      <c r="A175" s="3" t="s">
        <v>96</v>
      </c>
      <c r="K175" s="4" t="str" cm="1">
        <f t="array" ref="K175">MID(A175,MAX(IFERROR(FIND({"省","市","区","县"},A175),0))+1,FIND("街道",A175)-MAX(IFERROR(FIND({"省","市","区","县"},A175),0))-1+2)</f>
        <v>殿前街道</v>
      </c>
      <c r="M175" s="4" t="str" cm="1">
        <f t="array" ref="M175">MID(A175,MAX(IFERROR(FIND({"省"},A175),0),IFERROR(FIND({"市"},A175),0),IFERROR(FIND({"区"},A175),0),IFERROR(FIND({"县"},A175),0))+1,FIND("街道",A175)-MAX(IFERROR(FIND({"省"},A175),0),IFERROR(FIND({"市"},A175),0),IFERROR(FIND({"区"},A175),0),IFERROR(FIND({"县"},A175),0))-1+2)</f>
        <v>殿前街道</v>
      </c>
      <c r="O175" s="4" t="str" cm="1">
        <f t="array" ref="O175">_xlfn.LET(_xlpm.fullText,A175,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75" s="4" t="str" cm="1">
        <f t="array" ref="Q175">_xlfn.LET(_xlpm.fullText,A175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76" spans="1:17">
      <c r="A176" s="3" t="s">
        <v>97</v>
      </c>
      <c r="K176" s="4" t="str" cm="1">
        <f t="array" ref="K176">MID(A176,MAX(IFERROR(FIND({"省","市","区","县"},A176),0))+1,FIND("街道",A176)-MAX(IFERROR(FIND({"省","市","区","县"},A176),0))-1+2)</f>
        <v>嘉莲街道</v>
      </c>
      <c r="M176" s="4" t="str" cm="1">
        <f t="array" ref="M176">MID(A176,MAX(IFERROR(FIND({"省"},A176),0),IFERROR(FIND({"市"},A176),0),IFERROR(FIND({"区"},A176),0),IFERROR(FIND({"县"},A176),0))+1,FIND("街道",A176)-MAX(IFERROR(FIND({"省"},A176),0),IFERROR(FIND({"市"},A176),0),IFERROR(FIND({"区"},A176),0),IFERROR(FIND({"县"},A176),0))-1+2)</f>
        <v>嘉莲街道</v>
      </c>
      <c r="O176" s="4" t="str" cm="1">
        <f t="array" ref="O176">_xlfn.LET(_xlpm.fullText,A176,_xlpm.streetPos,FIND("街道",_xlpm.fullText)+2,_xlpm.prefixText,LEFT(_xlpm.fullText,_xlpm.streetPos-1),_xlpm.adminPos,MAX(IFERROR(FIND({"省","市","区","县"},_xlpm.prefixText),0)),IF(_xlpm.adminPos&gt;0,MID(_xlpm.prefixText,_xlpm.adminPos+1,_xlpm.streetPos-_xlpm.adminPos-3+2),LEFT(_xlpm.prefixText,FIND("街道",_xlpm.prefixText)-1+2)))</f>
        <v>嘉莲街道</v>
      </c>
      <c r="Q176" s="4" t="str" cm="1">
        <f t="array" ref="Q176">_xlfn.LET(_xlpm.fullText,A176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嘉莲街道</v>
      </c>
    </row>
    <row r="177" spans="1:17">
      <c r="A177" s="3" t="s">
        <v>57</v>
      </c>
      <c r="K177" s="4" t="str" cm="1">
        <f t="array" ref="K177">MID(A177,MAX(IFERROR(FIND({"省","市","区","县"},A177),0))+1,FIND("街道",A177)-MAX(IFERROR(FIND({"省","市","区","县"},A177),0))-1+2)</f>
        <v>北峰街道</v>
      </c>
      <c r="M177" s="4" t="str" cm="1">
        <f t="array" ref="M177">MID(A177,MAX(IFERROR(FIND({"省"},A177),0),IFERROR(FIND({"市"},A177),0),IFERROR(FIND({"区"},A177),0),IFERROR(FIND({"县"},A177),0))+1,FIND("街道",A177)-MAX(IFERROR(FIND({"省"},A177),0),IFERROR(FIND({"市"},A177),0),IFERROR(FIND({"区"},A177),0),IFERROR(FIND({"县"},A177),0))-1+2)</f>
        <v>北峰街道</v>
      </c>
      <c r="O177" s="4" t="str" cm="1">
        <f t="array" ref="O177">_xlfn.LET(_xlpm.fullText,A177,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177" s="4" t="str" cm="1">
        <f t="array" ref="Q177">_xlfn.LET(_xlpm.fullText,A177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178" spans="1:17">
      <c r="A178" s="3" t="s">
        <v>28</v>
      </c>
      <c r="K178" s="4" t="str" cm="1">
        <f t="array" ref="K178">MID(A178,MAX(IFERROR(FIND({"省","市","区","县"},A178),0))+1,FIND("街道",A178)-MAX(IFERROR(FIND({"省","市","区","县"},A178),0))-1+2)</f>
        <v>东海街道</v>
      </c>
      <c r="M178" s="4" t="str" cm="1">
        <f t="array" ref="M178">MID(A178,MAX(IFERROR(FIND({"省"},A178),0),IFERROR(FIND({"市"},A178),0),IFERROR(FIND({"区"},A178),0),IFERROR(FIND({"县"},A178),0))+1,FIND("街道",A178)-MAX(IFERROR(FIND({"省"},A178),0),IFERROR(FIND({"市"},A178),0),IFERROR(FIND({"区"},A178),0),IFERROR(FIND({"县"},A178),0))-1+2)</f>
        <v>东海街道</v>
      </c>
      <c r="O178" s="4" t="str" cm="1">
        <f t="array" ref="O178">_xlfn.LET(_xlpm.fullText,A178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78" s="4" t="str" cm="1">
        <f t="array" ref="Q178">_xlfn.LET(_xlpm.fullText,A178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79" spans="1:17">
      <c r="A179" s="3" t="s">
        <v>98</v>
      </c>
      <c r="K179" s="4" t="str" cm="1">
        <f t="array" ref="K179">MID(A179,MAX(IFERROR(FIND({"省","市","区","县"},A179),0))+1,FIND("街道",A179)-MAX(IFERROR(FIND({"省","市","区","县"},A179),0))-1+2)</f>
        <v>北峰街道</v>
      </c>
      <c r="M179" s="4" t="str" cm="1">
        <f t="array" ref="M179">MID(A179,MAX(IFERROR(FIND({"省"},A179),0),IFERROR(FIND({"市"},A179),0),IFERROR(FIND({"区"},A179),0),IFERROR(FIND({"县"},A179),0))+1,FIND("街道",A179)-MAX(IFERROR(FIND({"省"},A179),0),IFERROR(FIND({"市"},A179),0),IFERROR(FIND({"区"},A179),0),IFERROR(FIND({"县"},A179),0))-1+2)</f>
        <v>北峰街道</v>
      </c>
      <c r="O179" s="4" t="str" cm="1">
        <f t="array" ref="O179">_xlfn.LET(_xlpm.fullText,A179,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179" s="4" t="str" cm="1">
        <f t="array" ref="Q179">_xlfn.LET(_xlpm.fullText,A179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180" spans="1:17">
      <c r="A180" s="3" t="s">
        <v>99</v>
      </c>
      <c r="K180" s="4" t="str" cm="1">
        <f t="array" ref="K180">MID(A180,MAX(IFERROR(FIND({"省","市","区","县"},A180),0))+1,FIND("街道",A180)-MAX(IFERROR(FIND({"省","市","区","县"},A180),0))-1+2)</f>
        <v>梧村街道</v>
      </c>
      <c r="M180" s="4" t="str" cm="1">
        <f t="array" ref="M180">MID(A180,MAX(IFERROR(FIND({"省"},A180),0),IFERROR(FIND({"市"},A180),0),IFERROR(FIND({"区"},A180),0),IFERROR(FIND({"县"},A180),0))+1,FIND("街道",A180)-MAX(IFERROR(FIND({"省"},A180),0),IFERROR(FIND({"市"},A180),0),IFERROR(FIND({"区"},A180),0),IFERROR(FIND({"县"},A180),0))-1+2)</f>
        <v>梧村街道</v>
      </c>
      <c r="O180" s="4" t="str" cm="1">
        <f t="array" ref="O180">_xlfn.LET(_xlpm.fullText,A180,_xlpm.streetPos,FIND("街道",_xlpm.fullText)+2,_xlpm.prefixText,LEFT(_xlpm.fullText,_xlpm.streetPos-1),_xlpm.adminPos,MAX(IFERROR(FIND({"省","市","区","县"},_xlpm.prefixText),0)),IF(_xlpm.adminPos&gt;0,MID(_xlpm.prefixText,_xlpm.adminPos+1,_xlpm.streetPos-_xlpm.adminPos-3+2),LEFT(_xlpm.prefixText,FIND("街道",_xlpm.prefixText)-1+2)))</f>
        <v>梧村街道</v>
      </c>
      <c r="Q180" s="4" t="str" cm="1">
        <f t="array" ref="Q180">_xlfn.LET(_xlpm.fullText,A180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梧村街道</v>
      </c>
    </row>
    <row r="181" spans="1:17">
      <c r="A181" s="3" t="s">
        <v>100</v>
      </c>
      <c r="K181" s="4" t="str" cm="1">
        <f t="array" ref="K181">MID(A181,MAX(IFERROR(FIND({"省","市","区","县"},A181),0))+1,FIND("街道",A181)-MAX(IFERROR(FIND({"省","市","区","县"},A181),0))-1+2)</f>
        <v>东海街道</v>
      </c>
      <c r="M181" s="4" t="str" cm="1">
        <f t="array" ref="M181">MID(A181,MAX(IFERROR(FIND({"省"},A181),0),IFERROR(FIND({"市"},A181),0),IFERROR(FIND({"区"},A181),0),IFERROR(FIND({"县"},A181),0))+1,FIND("街道",A181)-MAX(IFERROR(FIND({"省"},A181),0),IFERROR(FIND({"市"},A181),0),IFERROR(FIND({"区"},A181),0),IFERROR(FIND({"县"},A181),0))-1+2)</f>
        <v>东海街道</v>
      </c>
      <c r="O181" s="4" t="str" cm="1">
        <f t="array" ref="O181">_xlfn.LET(_xlpm.fullText,A181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81" s="4" t="str" cm="1">
        <f t="array" ref="Q181">_xlfn.LET(_xlpm.fullText,A181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82" spans="1:17">
      <c r="A182" s="3" t="s">
        <v>101</v>
      </c>
      <c r="K182" s="4" t="str" cm="1">
        <f t="array" ref="K182">MID(A182,MAX(IFERROR(FIND({"省","市","区","县"},A182),0))+1,FIND("街道",A182)-MAX(IFERROR(FIND({"省","市","区","县"},A182),0))-1+2)</f>
        <v>杏林街道</v>
      </c>
      <c r="M182" s="4" t="str" cm="1">
        <f t="array" ref="M182">MID(A182,MAX(IFERROR(FIND({"省"},A182),0),IFERROR(FIND({"市"},A182),0),IFERROR(FIND({"区"},A182),0),IFERROR(FIND({"县"},A182),0))+1,FIND("街道",A182)-MAX(IFERROR(FIND({"省"},A182),0),IFERROR(FIND({"市"},A182),0),IFERROR(FIND({"区"},A182),0),IFERROR(FIND({"县"},A182),0))-1+2)</f>
        <v>杏林街道</v>
      </c>
      <c r="O182" s="4" t="str" cm="1">
        <f t="array" ref="O182">_xlfn.LET(_xlpm.fullText,A182,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182" s="4" t="str" cm="1">
        <f t="array" ref="Q182">_xlfn.LET(_xlpm.fullText,A182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183" spans="1:17">
      <c r="A183" s="3" t="s">
        <v>102</v>
      </c>
      <c r="K183" s="4" t="str" cm="1">
        <f t="array" ref="K183">MID(A183,MAX(IFERROR(FIND({"省","市","区","县"},A183),0))+1,FIND("街道",A183)-MAX(IFERROR(FIND({"省","市","区","县"},A183),0))-1+2)</f>
        <v>海沧街道</v>
      </c>
      <c r="M183" s="4" t="str" cm="1">
        <f t="array" ref="M183">MID(A183,MAX(IFERROR(FIND({"省"},A183),0),IFERROR(FIND({"市"},A183),0),IFERROR(FIND({"区"},A183),0),IFERROR(FIND({"县"},A183),0))+1,FIND("街道",A183)-MAX(IFERROR(FIND({"省"},A183),0),IFERROR(FIND({"市"},A183),0),IFERROR(FIND({"区"},A183),0),IFERROR(FIND({"县"},A183),0))-1+2)</f>
        <v>海沧街道</v>
      </c>
      <c r="O183" s="4" t="str" cm="1">
        <f t="array" ref="O183">_xlfn.LET(_xlpm.fullText,A183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183" s="4" t="str" cm="1">
        <f t="array" ref="Q183">_xlfn.LET(_xlpm.fullText,A183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184" spans="1:17">
      <c r="A184" s="3" t="s">
        <v>27</v>
      </c>
      <c r="K184" s="4" t="str" cm="1">
        <f t="array" ref="K184">MID(A184,MAX(IFERROR(FIND({"省","市","区","县"},A184),0))+1,FIND("街道",A184)-MAX(IFERROR(FIND({"省","市","区","县"},A184),0))-1+2)</f>
        <v>东海街道</v>
      </c>
      <c r="M184" s="4" t="str" cm="1">
        <f t="array" ref="M184">MID(A184,MAX(IFERROR(FIND({"省"},A184),0),IFERROR(FIND({"市"},A184),0),IFERROR(FIND({"区"},A184),0),IFERROR(FIND({"县"},A184),0))+1,FIND("街道",A184)-MAX(IFERROR(FIND({"省"},A184),0),IFERROR(FIND({"市"},A184),0),IFERROR(FIND({"区"},A184),0),IFERROR(FIND({"县"},A184),0))-1+2)</f>
        <v>东海街道</v>
      </c>
      <c r="O184" s="4" t="str" cm="1">
        <f t="array" ref="O184">_xlfn.LET(_xlpm.fullText,A184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84" s="4" t="str" cm="1">
        <f t="array" ref="Q184">_xlfn.LET(_xlpm.fullText,A184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85" spans="1:17">
      <c r="A185" s="3" t="s">
        <v>27</v>
      </c>
      <c r="K185" s="4" t="str" cm="1">
        <f t="array" ref="K185">MID(A185,MAX(IFERROR(FIND({"省","市","区","县"},A185),0))+1,FIND("街道",A185)-MAX(IFERROR(FIND({"省","市","区","县"},A185),0))-1+2)</f>
        <v>东海街道</v>
      </c>
      <c r="M185" s="4" t="str" cm="1">
        <f t="array" ref="M185">MID(A185,MAX(IFERROR(FIND({"省"},A185),0),IFERROR(FIND({"市"},A185),0),IFERROR(FIND({"区"},A185),0),IFERROR(FIND({"县"},A185),0))+1,FIND("街道",A185)-MAX(IFERROR(FIND({"省"},A185),0),IFERROR(FIND({"市"},A185),0),IFERROR(FIND({"区"},A185),0),IFERROR(FIND({"县"},A185),0))-1+2)</f>
        <v>东海街道</v>
      </c>
      <c r="O185" s="4" t="str" cm="1">
        <f t="array" ref="O185">_xlfn.LET(_xlpm.fullText,A185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85" s="4" t="str" cm="1">
        <f t="array" ref="Q185">_xlfn.LET(_xlpm.fullText,A185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86" spans="1:17">
      <c r="A186" s="3" t="s">
        <v>54</v>
      </c>
      <c r="K186" s="4" t="str" cm="1">
        <f t="array" ref="K186">MID(A186,MAX(IFERROR(FIND({"省","市","区","县"},A186),0))+1,FIND("街道",A186)-MAX(IFERROR(FIND({"省","市","区","县"},A186),0))-1+2)</f>
        <v>东海街道</v>
      </c>
      <c r="M186" s="4" t="str" cm="1">
        <f t="array" ref="M186">MID(A186,MAX(IFERROR(FIND({"省"},A186),0),IFERROR(FIND({"市"},A186),0),IFERROR(FIND({"区"},A186),0),IFERROR(FIND({"县"},A186),0))+1,FIND("街道",A186)-MAX(IFERROR(FIND({"省"},A186),0),IFERROR(FIND({"市"},A186),0),IFERROR(FIND({"区"},A186),0),IFERROR(FIND({"县"},A186),0))-1+2)</f>
        <v>东海街道</v>
      </c>
      <c r="O186" s="4" t="str" cm="1">
        <f t="array" ref="O186">_xlfn.LET(_xlpm.fullText,A186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86" s="4" t="str" cm="1">
        <f t="array" ref="Q186">_xlfn.LET(_xlpm.fullText,A186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87" spans="1:17">
      <c r="A187" s="3" t="s">
        <v>83</v>
      </c>
      <c r="K187" s="4" t="str" cm="1">
        <f t="array" ref="K187">MID(A187,MAX(IFERROR(FIND({"省","市","区","县"},A187),0))+1,FIND("街道",A187)-MAX(IFERROR(FIND({"省","市","区","县"},A187),0))-1+2)</f>
        <v>湖里街道</v>
      </c>
      <c r="M187" s="4" t="str" cm="1">
        <f t="array" ref="M187">MID(A187,MAX(IFERROR(FIND({"省"},A187),0),IFERROR(FIND({"市"},A187),0),IFERROR(FIND({"区"},A187),0),IFERROR(FIND({"县"},A187),0))+1,FIND("街道",A187)-MAX(IFERROR(FIND({"省"},A187),0),IFERROR(FIND({"市"},A187),0),IFERROR(FIND({"区"},A187),0),IFERROR(FIND({"县"},A187),0))-1+2)</f>
        <v>湖里街道</v>
      </c>
      <c r="O187" s="4" t="str" cm="1">
        <f t="array" ref="O187">_xlfn.LET(_xlpm.fullText,A187,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87" s="4" t="str" cm="1">
        <f t="array" ref="Q187">_xlfn.LET(_xlpm.fullText,A187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88" spans="1:17">
      <c r="A188" s="3" t="s">
        <v>103</v>
      </c>
      <c r="K188" s="4" t="str" cm="1">
        <f t="array" ref="K188">MID(A188,MAX(IFERROR(FIND({"省","市","区","县"},A188),0))+1,FIND("街道",A188)-MAX(IFERROR(FIND({"省","市","区","县"},A188),0))-1+2)</f>
        <v>殿前街道</v>
      </c>
      <c r="M188" s="4" t="str" cm="1">
        <f t="array" ref="M188">MID(A188,MAX(IFERROR(FIND({"省"},A188),0),IFERROR(FIND({"市"},A188),0),IFERROR(FIND({"区"},A188),0),IFERROR(FIND({"县"},A188),0))+1,FIND("街道",A188)-MAX(IFERROR(FIND({"省"},A188),0),IFERROR(FIND({"市"},A188),0),IFERROR(FIND({"区"},A188),0),IFERROR(FIND({"县"},A188),0))-1+2)</f>
        <v>殿前街道</v>
      </c>
      <c r="O188" s="4" t="str" cm="1">
        <f t="array" ref="O188">_xlfn.LET(_xlpm.fullText,A188,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88" s="4" t="str" cm="1">
        <f t="array" ref="Q188">_xlfn.LET(_xlpm.fullText,A188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89" spans="1:17">
      <c r="A189" s="3" t="s">
        <v>104</v>
      </c>
      <c r="K189" s="4" t="str" cm="1">
        <f t="array" ref="K189">MID(A189,MAX(IFERROR(FIND({"省","市","区","县"},A189),0))+1,FIND("街道",A189)-MAX(IFERROR(FIND({"省","市","区","县"},A189),0))-1+2)</f>
        <v>金山街道</v>
      </c>
      <c r="M189" s="4" t="str" cm="1">
        <f t="array" ref="M189">MID(A189,MAX(IFERROR(FIND({"省"},A189),0),IFERROR(FIND({"市"},A189),0),IFERROR(FIND({"区"},A189),0),IFERROR(FIND({"县"},A189),0))+1,FIND("街道",A189)-MAX(IFERROR(FIND({"省"},A189),0),IFERROR(FIND({"市"},A189),0),IFERROR(FIND({"区"},A189),0),IFERROR(FIND({"县"},A189),0))-1+2)</f>
        <v>金山街道</v>
      </c>
      <c r="O189" s="4" t="str" cm="1">
        <f t="array" ref="O189">_xlfn.LET(_xlpm.fullText,A189,_xlpm.streetPos,FIND("街道",_xlpm.fullText)+2,_xlpm.prefixText,LEFT(_xlpm.fullText,_xlpm.streetPos-1),_xlpm.adminPos,MAX(IFERROR(FIND({"省","市","区","县"},_xlpm.prefixText),0)),IF(_xlpm.adminPos&gt;0,MID(_xlpm.prefixText,_xlpm.adminPos+1,_xlpm.streetPos-_xlpm.adminPos-3+2),LEFT(_xlpm.prefixText,FIND("街道",_xlpm.prefixText)-1+2)))</f>
        <v>金山街道</v>
      </c>
      <c r="Q189" s="4" t="str" cm="1">
        <f t="array" ref="Q189">_xlfn.LET(_xlpm.fullText,A189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金山街道</v>
      </c>
    </row>
    <row r="190" spans="1:17">
      <c r="A190" s="3" t="s">
        <v>105</v>
      </c>
      <c r="K190" s="4" t="str" cm="1">
        <f t="array" ref="K190">MID(A190,MAX(IFERROR(FIND({"省","市","区","县"},A190),0))+1,FIND("街道",A190)-MAX(IFERROR(FIND({"省","市","区","县"},A190),0))-1+2)</f>
        <v>筼筜街道</v>
      </c>
      <c r="M190" s="4" t="str" cm="1">
        <f t="array" ref="M190">MID(A190,MAX(IFERROR(FIND({"省"},A190),0),IFERROR(FIND({"市"},A190),0),IFERROR(FIND({"区"},A190),0),IFERROR(FIND({"县"},A190),0))+1,FIND("街道",A190)-MAX(IFERROR(FIND({"省"},A190),0),IFERROR(FIND({"市"},A190),0),IFERROR(FIND({"区"},A190),0),IFERROR(FIND({"县"},A190),0))-1+2)</f>
        <v>筼筜街道</v>
      </c>
      <c r="O190" s="4" t="str" cm="1">
        <f t="array" ref="O190">_xlfn.LET(_xlpm.fullText,A190,_xlpm.streetPos,FIND("街道",_xlpm.fullText)+2,_xlpm.prefixText,LEFT(_xlpm.fullText,_xlpm.streetPos-1),_xlpm.adminPos,MAX(IFERROR(FIND({"省","市","区","县"},_xlpm.prefixText),0)),IF(_xlpm.adminPos&gt;0,MID(_xlpm.prefixText,_xlpm.adminPos+1,_xlpm.streetPos-_xlpm.adminPos-3+2),LEFT(_xlpm.prefixText,FIND("街道",_xlpm.prefixText)-1+2)))</f>
        <v>筼筜街道</v>
      </c>
      <c r="Q190" s="4" t="str" cm="1">
        <f t="array" ref="Q190">_xlfn.LET(_xlpm.fullText,A190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筼筜街道</v>
      </c>
    </row>
    <row r="191" spans="1:17">
      <c r="A191" s="3" t="s">
        <v>28</v>
      </c>
      <c r="K191" s="4" t="str" cm="1">
        <f t="array" ref="K191">MID(A191,MAX(IFERROR(FIND({"省","市","区","县"},A191),0))+1,FIND("街道",A191)-MAX(IFERROR(FIND({"省","市","区","县"},A191),0))-1+2)</f>
        <v>东海街道</v>
      </c>
      <c r="M191" s="4" t="str" cm="1">
        <f t="array" ref="M191">MID(A191,MAX(IFERROR(FIND({"省"},A191),0),IFERROR(FIND({"市"},A191),0),IFERROR(FIND({"区"},A191),0),IFERROR(FIND({"县"},A191),0))+1,FIND("街道",A191)-MAX(IFERROR(FIND({"省"},A191),0),IFERROR(FIND({"市"},A191),0),IFERROR(FIND({"区"},A191),0),IFERROR(FIND({"县"},A191),0))-1+2)</f>
        <v>东海街道</v>
      </c>
      <c r="O191" s="4" t="str" cm="1">
        <f t="array" ref="O191">_xlfn.LET(_xlpm.fullText,A191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1" s="4" t="str" cm="1">
        <f t="array" ref="Q191">_xlfn.LET(_xlpm.fullText,A191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2" spans="1:17">
      <c r="A192" s="3" t="s">
        <v>28</v>
      </c>
      <c r="K192" s="4" t="str" cm="1">
        <f t="array" ref="K192">MID(A192,MAX(IFERROR(FIND({"省","市","区","县"},A192),0))+1,FIND("街道",A192)-MAX(IFERROR(FIND({"省","市","区","县"},A192),0))-1+2)</f>
        <v>东海街道</v>
      </c>
      <c r="M192" s="4" t="str" cm="1">
        <f t="array" ref="M192">MID(A192,MAX(IFERROR(FIND({"省"},A192),0),IFERROR(FIND({"市"},A192),0),IFERROR(FIND({"区"},A192),0),IFERROR(FIND({"县"},A192),0))+1,FIND("街道",A192)-MAX(IFERROR(FIND({"省"},A192),0),IFERROR(FIND({"市"},A192),0),IFERROR(FIND({"区"},A192),0),IFERROR(FIND({"县"},A192),0))-1+2)</f>
        <v>东海街道</v>
      </c>
      <c r="O192" s="4" t="str" cm="1">
        <f t="array" ref="O192">_xlfn.LET(_xlpm.fullText,A192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2" s="4" t="str" cm="1">
        <f t="array" ref="Q192">_xlfn.LET(_xlpm.fullText,A192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3" spans="1:17">
      <c r="A193" s="3" t="s">
        <v>76</v>
      </c>
      <c r="K193" s="4" t="str" cm="1">
        <f t="array" ref="K193">MID(A193,MAX(IFERROR(FIND({"省","市","区","县"},A193),0))+1,FIND("街道",A193)-MAX(IFERROR(FIND({"省","市","区","县"},A193),0))-1+2)</f>
        <v>殿前街道</v>
      </c>
      <c r="M193" s="4" t="str" cm="1">
        <f t="array" ref="M193">MID(A193,MAX(IFERROR(FIND({"省"},A193),0),IFERROR(FIND({"市"},A193),0),IFERROR(FIND({"区"},A193),0),IFERROR(FIND({"县"},A193),0))+1,FIND("街道",A193)-MAX(IFERROR(FIND({"省"},A193),0),IFERROR(FIND({"市"},A193),0),IFERROR(FIND({"区"},A193),0),IFERROR(FIND({"县"},A193),0))-1+2)</f>
        <v>殿前街道</v>
      </c>
      <c r="O193" s="4" t="str" cm="1">
        <f t="array" ref="O193">_xlfn.LET(_xlpm.fullText,A193,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193" s="4" t="str" cm="1">
        <f t="array" ref="Q193">_xlfn.LET(_xlpm.fullText,A193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194" spans="1:17">
      <c r="A194" s="3" t="s">
        <v>106</v>
      </c>
      <c r="K194" s="4" t="str" cm="1">
        <f t="array" ref="K194">MID(A194,MAX(IFERROR(FIND({"省","市","区","县"},A194),0))+1,FIND("街道",A194)-MAX(IFERROR(FIND({"省","市","区","县"},A194),0))-1+2)</f>
        <v>东海街道</v>
      </c>
      <c r="M194" s="4" t="str" cm="1">
        <f t="array" ref="M194">MID(A194,MAX(IFERROR(FIND({"省"},A194),0),IFERROR(FIND({"市"},A194),0),IFERROR(FIND({"区"},A194),0),IFERROR(FIND({"县"},A194),0))+1,FIND("街道",A194)-MAX(IFERROR(FIND({"省"},A194),0),IFERROR(FIND({"市"},A194),0),IFERROR(FIND({"区"},A194),0),IFERROR(FIND({"县"},A194),0))-1+2)</f>
        <v>东海街道</v>
      </c>
      <c r="O194" s="4" t="str" cm="1">
        <f t="array" ref="O194">_xlfn.LET(_xlpm.fullText,A194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4" s="4" t="str" cm="1">
        <f t="array" ref="Q194">_xlfn.LET(_xlpm.fullText,A194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5" spans="1:17">
      <c r="A195" s="3" t="s">
        <v>106</v>
      </c>
      <c r="K195" s="4" t="str" cm="1">
        <f t="array" ref="K195">MID(A195,MAX(IFERROR(FIND({"省","市","区","县"},A195),0))+1,FIND("街道",A195)-MAX(IFERROR(FIND({"省","市","区","县"},A195),0))-1+2)</f>
        <v>东海街道</v>
      </c>
      <c r="M195" s="4" t="str" cm="1">
        <f t="array" ref="M195">MID(A195,MAX(IFERROR(FIND({"省"},A195),0),IFERROR(FIND({"市"},A195),0),IFERROR(FIND({"区"},A195),0),IFERROR(FIND({"县"},A195),0))+1,FIND("街道",A195)-MAX(IFERROR(FIND({"省"},A195),0),IFERROR(FIND({"市"},A195),0),IFERROR(FIND({"区"},A195),0),IFERROR(FIND({"县"},A195),0))-1+2)</f>
        <v>东海街道</v>
      </c>
      <c r="O195" s="4" t="str" cm="1">
        <f t="array" ref="O195">_xlfn.LET(_xlpm.fullText,A195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5" s="4" t="str" cm="1">
        <f t="array" ref="Q195">_xlfn.LET(_xlpm.fullText,A195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6" spans="1:17">
      <c r="A196" s="3" t="s">
        <v>106</v>
      </c>
      <c r="K196" s="4" t="str" cm="1">
        <f t="array" ref="K196">MID(A196,MAX(IFERROR(FIND({"省","市","区","县"},A196),0))+1,FIND("街道",A196)-MAX(IFERROR(FIND({"省","市","区","县"},A196),0))-1+2)</f>
        <v>东海街道</v>
      </c>
      <c r="M196" s="4" t="str" cm="1">
        <f t="array" ref="M196">MID(A196,MAX(IFERROR(FIND({"省"},A196),0),IFERROR(FIND({"市"},A196),0),IFERROR(FIND({"区"},A196),0),IFERROR(FIND({"县"},A196),0))+1,FIND("街道",A196)-MAX(IFERROR(FIND({"省"},A196),0),IFERROR(FIND({"市"},A196),0),IFERROR(FIND({"区"},A196),0),IFERROR(FIND({"县"},A196),0))-1+2)</f>
        <v>东海街道</v>
      </c>
      <c r="O196" s="4" t="str" cm="1">
        <f t="array" ref="O196">_xlfn.LET(_xlpm.fullText,A196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6" s="4" t="str" cm="1">
        <f t="array" ref="Q196">_xlfn.LET(_xlpm.fullText,A196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7" spans="1:17">
      <c r="A197" s="3" t="s">
        <v>106</v>
      </c>
      <c r="K197" s="4" t="str" cm="1">
        <f t="array" ref="K197">MID(A197,MAX(IFERROR(FIND({"省","市","区","县"},A197),0))+1,FIND("街道",A197)-MAX(IFERROR(FIND({"省","市","区","县"},A197),0))-1+2)</f>
        <v>东海街道</v>
      </c>
      <c r="M197" s="4" t="str" cm="1">
        <f t="array" ref="M197">MID(A197,MAX(IFERROR(FIND({"省"},A197),0),IFERROR(FIND({"市"},A197),0),IFERROR(FIND({"区"},A197),0),IFERROR(FIND({"县"},A197),0))+1,FIND("街道",A197)-MAX(IFERROR(FIND({"省"},A197),0),IFERROR(FIND({"市"},A197),0),IFERROR(FIND({"区"},A197),0),IFERROR(FIND({"县"},A197),0))-1+2)</f>
        <v>东海街道</v>
      </c>
      <c r="O197" s="4" t="str" cm="1">
        <f t="array" ref="O197">_xlfn.LET(_xlpm.fullText,A197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7" s="4" t="str" cm="1">
        <f t="array" ref="Q197">_xlfn.LET(_xlpm.fullText,A197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8" spans="1:17">
      <c r="A198" s="3" t="s">
        <v>106</v>
      </c>
      <c r="K198" s="4" t="str" cm="1">
        <f t="array" ref="K198">MID(A198,MAX(IFERROR(FIND({"省","市","区","县"},A198),0))+1,FIND("街道",A198)-MAX(IFERROR(FIND({"省","市","区","县"},A198),0))-1+2)</f>
        <v>东海街道</v>
      </c>
      <c r="M198" s="4" t="str" cm="1">
        <f t="array" ref="M198">MID(A198,MAX(IFERROR(FIND({"省"},A198),0),IFERROR(FIND({"市"},A198),0),IFERROR(FIND({"区"},A198),0),IFERROR(FIND({"县"},A198),0))+1,FIND("街道",A198)-MAX(IFERROR(FIND({"省"},A198),0),IFERROR(FIND({"市"},A198),0),IFERROR(FIND({"区"},A198),0),IFERROR(FIND({"县"},A198),0))-1+2)</f>
        <v>东海街道</v>
      </c>
      <c r="O198" s="4" t="str" cm="1">
        <f t="array" ref="O198">_xlfn.LET(_xlpm.fullText,A198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8" s="4" t="str" cm="1">
        <f t="array" ref="Q198">_xlfn.LET(_xlpm.fullText,A198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199" spans="1:17">
      <c r="A199" s="3" t="s">
        <v>25</v>
      </c>
      <c r="K199" s="4" t="str" cm="1">
        <f t="array" ref="K199">MID(A199,MAX(IFERROR(FIND({"省","市","区","县"},A199),0))+1,FIND("街道",A199)-MAX(IFERROR(FIND({"省","市","区","县"},A199),0))-1+2)</f>
        <v>东海街道</v>
      </c>
      <c r="M199" s="4" t="str" cm="1">
        <f t="array" ref="M199">MID(A199,MAX(IFERROR(FIND({"省"},A199),0),IFERROR(FIND({"市"},A199),0),IFERROR(FIND({"区"},A199),0),IFERROR(FIND({"县"},A199),0))+1,FIND("街道",A199)-MAX(IFERROR(FIND({"省"},A199),0),IFERROR(FIND({"市"},A199),0),IFERROR(FIND({"区"},A199),0),IFERROR(FIND({"县"},A199),0))-1+2)</f>
        <v>东海街道</v>
      </c>
      <c r="O199" s="4" t="str" cm="1">
        <f t="array" ref="O199">_xlfn.LET(_xlpm.fullText,A199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199" s="4" t="str" cm="1">
        <f t="array" ref="Q199">_xlfn.LET(_xlpm.fullText,A199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00" spans="1:17">
      <c r="A200" s="3" t="s">
        <v>107</v>
      </c>
      <c r="K200" s="4" t="str" cm="1">
        <f t="array" ref="K200">MID(A200,MAX(IFERROR(FIND({"省","市","区","县"},A200),0))+1,FIND("街道",A200)-MAX(IFERROR(FIND({"省","市","区","县"},A200),0))-1+2)</f>
        <v>湖里街道</v>
      </c>
      <c r="M200" s="4" t="str" cm="1">
        <f t="array" ref="M200">MID(A200,MAX(IFERROR(FIND({"省"},A200),0),IFERROR(FIND({"市"},A200),0),IFERROR(FIND({"区"},A200),0),IFERROR(FIND({"县"},A200),0))+1,FIND("街道",A200)-MAX(IFERROR(FIND({"省"},A200),0),IFERROR(FIND({"市"},A200),0),IFERROR(FIND({"区"},A200),0),IFERROR(FIND({"县"},A200),0))-1+2)</f>
        <v>湖里街道</v>
      </c>
      <c r="O200" s="4" t="str" cm="1">
        <f t="array" ref="O200">_xlfn.LET(_xlpm.fullText,A200,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00" s="4" t="str" cm="1">
        <f t="array" ref="Q200">_xlfn.LET(_xlpm.fullText,A200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01" spans="1:17">
      <c r="A201" s="3" t="s">
        <v>108</v>
      </c>
      <c r="K201" s="4" t="str" cm="1">
        <f t="array" ref="K201">MID(A201,MAX(IFERROR(FIND({"省","市","区","县"},A201),0))+1,FIND("街道",A201)-MAX(IFERROR(FIND({"省","市","区","县"},A201),0))-1+2)</f>
        <v>梧村街道</v>
      </c>
      <c r="M201" s="4" t="str" cm="1">
        <f t="array" ref="M201">MID(A201,MAX(IFERROR(FIND({"省"},A201),0),IFERROR(FIND({"市"},A201),0),IFERROR(FIND({"区"},A201),0),IFERROR(FIND({"县"},A201),0))+1,FIND("街道",A201)-MAX(IFERROR(FIND({"省"},A201),0),IFERROR(FIND({"市"},A201),0),IFERROR(FIND({"区"},A201),0),IFERROR(FIND({"县"},A201),0))-1+2)</f>
        <v>梧村街道</v>
      </c>
      <c r="O201" s="4" t="str" cm="1">
        <f t="array" ref="O201">_xlfn.LET(_xlpm.fullText,A201,_xlpm.streetPos,FIND("街道",_xlpm.fullText)+2,_xlpm.prefixText,LEFT(_xlpm.fullText,_xlpm.streetPos-1),_xlpm.adminPos,MAX(IFERROR(FIND({"省","市","区","县"},_xlpm.prefixText),0)),IF(_xlpm.adminPos&gt;0,MID(_xlpm.prefixText,_xlpm.adminPos+1,_xlpm.streetPos-_xlpm.adminPos-3+2),LEFT(_xlpm.prefixText,FIND("街道",_xlpm.prefixText)-1+2)))</f>
        <v>梧村街道</v>
      </c>
      <c r="Q201" s="4" t="str" cm="1">
        <f t="array" ref="Q201">_xlfn.LET(_xlpm.fullText,A201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梧村街道</v>
      </c>
    </row>
    <row r="202" spans="1:17">
      <c r="A202" s="3" t="s">
        <v>109</v>
      </c>
      <c r="K202" s="4" t="str" cm="1">
        <f t="array" ref="K202">MID(A202,MAX(IFERROR(FIND({"省","市","区","县"},A202),0))+1,FIND("街道",A202)-MAX(IFERROR(FIND({"省","市","区","县"},A202),0))-1+2)</f>
        <v>仓前街道</v>
      </c>
      <c r="M202" s="4" t="str" cm="1">
        <f t="array" ref="M202">MID(A202,MAX(IFERROR(FIND({"省"},A202),0),IFERROR(FIND({"市"},A202),0),IFERROR(FIND({"区"},A202),0),IFERROR(FIND({"县"},A202),0))+1,FIND("街道",A202)-MAX(IFERROR(FIND({"省"},A202),0),IFERROR(FIND({"市"},A202),0),IFERROR(FIND({"区"},A202),0),IFERROR(FIND({"县"},A202),0))-1+2)</f>
        <v>仓前街道</v>
      </c>
      <c r="O202" s="4" t="str" cm="1">
        <f t="array" ref="O202">_xlfn.LET(_xlpm.fullText,A202,_xlpm.streetPos,FIND("街道",_xlpm.fullText)+2,_xlpm.prefixText,LEFT(_xlpm.fullText,_xlpm.streetPos-1),_xlpm.adminPos,MAX(IFERROR(FIND({"省","市","区","县"},_xlpm.prefixText),0)),IF(_xlpm.adminPos&gt;0,MID(_xlpm.prefixText,_xlpm.adminPos+1,_xlpm.streetPos-_xlpm.adminPos-3+2),LEFT(_xlpm.prefixText,FIND("街道",_xlpm.prefixText)-1+2)))</f>
        <v>仓前街道</v>
      </c>
      <c r="Q202" s="4" t="str" cm="1">
        <f t="array" ref="Q202">_xlfn.LET(_xlpm.fullText,A202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仓前街道</v>
      </c>
    </row>
    <row r="203" spans="1:17">
      <c r="A203" s="3" t="s">
        <v>110</v>
      </c>
      <c r="K203" s="4" t="str" cm="1">
        <f t="array" ref="K203">MID(A203,MAX(IFERROR(FIND({"省","市","区","县"},A203),0))+1,FIND("街道",A203)-MAX(IFERROR(FIND({"省","市","区","县"},A203),0))-1+2)</f>
        <v>湖里街道</v>
      </c>
      <c r="M203" s="4" t="str" cm="1">
        <f t="array" ref="M203">MID(A203,MAX(IFERROR(FIND({"省"},A203),0),IFERROR(FIND({"市"},A203),0),IFERROR(FIND({"区"},A203),0),IFERROR(FIND({"县"},A203),0))+1,FIND("街道",A203)-MAX(IFERROR(FIND({"省"},A203),0),IFERROR(FIND({"市"},A203),0),IFERROR(FIND({"区"},A203),0),IFERROR(FIND({"县"},A203),0))-1+2)</f>
        <v>湖里街道</v>
      </c>
      <c r="O203" s="4" t="str" cm="1">
        <f t="array" ref="O203">_xlfn.LET(_xlpm.fullText,A203,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03" s="4" t="str" cm="1">
        <f t="array" ref="Q203">_xlfn.LET(_xlpm.fullText,A203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04" spans="1:17">
      <c r="A204" s="3" t="s">
        <v>110</v>
      </c>
      <c r="K204" s="4" t="str" cm="1">
        <f t="array" ref="K204">MID(A204,MAX(IFERROR(FIND({"省","市","区","县"},A204),0))+1,FIND("街道",A204)-MAX(IFERROR(FIND({"省","市","区","县"},A204),0))-1+2)</f>
        <v>湖里街道</v>
      </c>
      <c r="M204" s="4" t="str" cm="1">
        <f t="array" ref="M204">MID(A204,MAX(IFERROR(FIND({"省"},A204),0),IFERROR(FIND({"市"},A204),0),IFERROR(FIND({"区"},A204),0),IFERROR(FIND({"县"},A204),0))+1,FIND("街道",A204)-MAX(IFERROR(FIND({"省"},A204),0),IFERROR(FIND({"市"},A204),0),IFERROR(FIND({"区"},A204),0),IFERROR(FIND({"县"},A204),0))-1+2)</f>
        <v>湖里街道</v>
      </c>
      <c r="O204" s="4" t="str" cm="1">
        <f t="array" ref="O204">_xlfn.LET(_xlpm.fullText,A204,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04" s="4" t="str" cm="1">
        <f t="array" ref="Q204">_xlfn.LET(_xlpm.fullText,A204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05" spans="1:17">
      <c r="A205" s="3" t="s">
        <v>110</v>
      </c>
      <c r="K205" s="4" t="str" cm="1">
        <f t="array" ref="K205">MID(A205,MAX(IFERROR(FIND({"省","市","区","县"},A205),0))+1,FIND("街道",A205)-MAX(IFERROR(FIND({"省","市","区","县"},A205),0))-1+2)</f>
        <v>湖里街道</v>
      </c>
      <c r="M205" s="4" t="str" cm="1">
        <f t="array" ref="M205">MID(A205,MAX(IFERROR(FIND({"省"},A205),0),IFERROR(FIND({"市"},A205),0),IFERROR(FIND({"区"},A205),0),IFERROR(FIND({"县"},A205),0))+1,FIND("街道",A205)-MAX(IFERROR(FIND({"省"},A205),0),IFERROR(FIND({"市"},A205),0),IFERROR(FIND({"区"},A205),0),IFERROR(FIND({"县"},A205),0))-1+2)</f>
        <v>湖里街道</v>
      </c>
      <c r="O205" s="4" t="str" cm="1">
        <f t="array" ref="O205">_xlfn.LET(_xlpm.fullText,A205,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05" s="4" t="str" cm="1">
        <f t="array" ref="Q205">_xlfn.LET(_xlpm.fullText,A205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06" spans="1:17">
      <c r="A206" s="3" t="s">
        <v>99</v>
      </c>
      <c r="K206" s="4" t="str" cm="1">
        <f t="array" ref="K206">MID(A206,MAX(IFERROR(FIND({"省","市","区","县"},A206),0))+1,FIND("街道",A206)-MAX(IFERROR(FIND({"省","市","区","县"},A206),0))-1+2)</f>
        <v>梧村街道</v>
      </c>
      <c r="M206" s="4" t="str" cm="1">
        <f t="array" ref="M206">MID(A206,MAX(IFERROR(FIND({"省"},A206),0),IFERROR(FIND({"市"},A206),0),IFERROR(FIND({"区"},A206),0),IFERROR(FIND({"县"},A206),0))+1,FIND("街道",A206)-MAX(IFERROR(FIND({"省"},A206),0),IFERROR(FIND({"市"},A206),0),IFERROR(FIND({"区"},A206),0),IFERROR(FIND({"县"},A206),0))-1+2)</f>
        <v>梧村街道</v>
      </c>
      <c r="O206" s="4" t="str" cm="1">
        <f t="array" ref="O206">_xlfn.LET(_xlpm.fullText,A206,_xlpm.streetPos,FIND("街道",_xlpm.fullText)+2,_xlpm.prefixText,LEFT(_xlpm.fullText,_xlpm.streetPos-1),_xlpm.adminPos,MAX(IFERROR(FIND({"省","市","区","县"},_xlpm.prefixText),0)),IF(_xlpm.adminPos&gt;0,MID(_xlpm.prefixText,_xlpm.adminPos+1,_xlpm.streetPos-_xlpm.adminPos-3+2),LEFT(_xlpm.prefixText,FIND("街道",_xlpm.prefixText)-1+2)))</f>
        <v>梧村街道</v>
      </c>
      <c r="Q206" s="4" t="str" cm="1">
        <f t="array" ref="Q206">_xlfn.LET(_xlpm.fullText,A206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梧村街道</v>
      </c>
    </row>
    <row r="207" ht="28.8" spans="1:17">
      <c r="A207" s="3" t="s">
        <v>111</v>
      </c>
      <c r="K207" s="4" t="str" cm="1">
        <f t="array" ref="K207">MID(A207,MAX(IFERROR(FIND({"省","市","区","县"},A207),0))+1,FIND("街道",A207)-MAX(IFERROR(FIND({"省","市","区","县"},A207),0))-1+2)</f>
        <v>金山桥街道</v>
      </c>
      <c r="M207" s="4" t="str" cm="1">
        <f t="array" ref="M207">MID(A207,MAX(IFERROR(FIND({"省"},A207),0),IFERROR(FIND({"市"},A207),0),IFERROR(FIND({"区"},A207),0),IFERROR(FIND({"县"},A207),0))+1,FIND("街道",A207)-MAX(IFERROR(FIND({"省"},A207),0),IFERROR(FIND({"市"},A207),0),IFERROR(FIND({"区"},A207),0),IFERROR(FIND({"县"},A207),0))-1+2)</f>
        <v>金山桥街道</v>
      </c>
      <c r="O207" s="4" t="str" cm="1">
        <f t="array" ref="O207">_xlfn.LET(_xlpm.fullText,A207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207" s="4" t="str" cm="1">
        <f t="array" ref="Q207">_xlfn.LET(_xlpm.fullText,A207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208" ht="28.8" spans="1:17">
      <c r="A208" s="3" t="s">
        <v>112</v>
      </c>
      <c r="K208" s="4" t="str" cm="1">
        <f t="array" ref="K208">MID(A208,MAX(IFERROR(FIND({"省","市","区","县"},A208),0))+1,FIND("街道",A208)-MAX(IFERROR(FIND({"省","市","区","县"},A208),0))-1+2)</f>
        <v>七里塘街道</v>
      </c>
      <c r="M208" s="4" t="str" cm="1">
        <f t="array" ref="M208">MID(A208,MAX(IFERROR(FIND({"省"},A208),0),IFERROR(FIND({"市"},A208),0),IFERROR(FIND({"区"},A208),0),IFERROR(FIND({"县"},A208),0))+1,FIND("街道",A208)-MAX(IFERROR(FIND({"省"},A208),0),IFERROR(FIND({"市"},A208),0),IFERROR(FIND({"区"},A208),0),IFERROR(FIND({"县"},A208),0))-1+2)</f>
        <v>七里塘街道</v>
      </c>
      <c r="O208" s="4" t="str" cm="1">
        <f t="array" ref="O208">_xlfn.LET(_xlpm.fullText,A208,_xlpm.streetPos,FIND("街道",_xlpm.fullText)+2,_xlpm.prefixText,LEFT(_xlpm.fullText,_xlpm.streetPos-1),_xlpm.adminPos,MAX(IFERROR(FIND({"省","市","区","县"},_xlpm.prefixText),0)),IF(_xlpm.adminPos&gt;0,MID(_xlpm.prefixText,_xlpm.adminPos+1,_xlpm.streetPos-_xlpm.adminPos-3+2),LEFT(_xlpm.prefixText,FIND("街道",_xlpm.prefixText)-1+2)))</f>
        <v>七里塘街道</v>
      </c>
      <c r="Q208" s="4" t="str" cm="1">
        <f t="array" ref="Q208">_xlfn.LET(_xlpm.fullText,A208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七里塘街道</v>
      </c>
    </row>
    <row r="209" spans="1:17">
      <c r="A209" s="3" t="s">
        <v>113</v>
      </c>
      <c r="K209" s="4" t="str" cm="1">
        <f t="array" ref="K209">MID(A209,MAX(IFERROR(FIND({"省","市","区","县"},A209),0))+1,FIND("街道",A209)-MAX(IFERROR(FIND({"省","市","区","县"},A209),0))-1+2)</f>
        <v>湖滨街道</v>
      </c>
      <c r="M209" s="4" t="str" cm="1">
        <f t="array" ref="M209">MID(A209,MAX(IFERROR(FIND({"省"},A209),0),IFERROR(FIND({"市"},A209),0),IFERROR(FIND({"区"},A209),0),IFERROR(FIND({"县"},A209),0))+1,FIND("街道",A209)-MAX(IFERROR(FIND({"省"},A209),0),IFERROR(FIND({"市"},A209),0),IFERROR(FIND({"区"},A209),0),IFERROR(FIND({"县"},A209),0))-1+2)</f>
        <v>湖滨街道</v>
      </c>
      <c r="O209" s="4" t="str" cm="1">
        <f t="array" ref="O209">_xlfn.LET(_xlpm.fullText,A209,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209" s="4" t="str" cm="1">
        <f t="array" ref="Q209">_xlfn.LET(_xlpm.fullText,A209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210" ht="28.8" spans="1:17">
      <c r="A210" s="3" t="s">
        <v>111</v>
      </c>
      <c r="K210" s="4" t="str" cm="1">
        <f t="array" ref="K210">MID(A210,MAX(IFERROR(FIND({"省","市","区","县"},A210),0))+1,FIND("街道",A210)-MAX(IFERROR(FIND({"省","市","区","县"},A210),0))-1+2)</f>
        <v>金山桥街道</v>
      </c>
      <c r="M210" s="4" t="str" cm="1">
        <f t="array" ref="M210">MID(A210,MAX(IFERROR(FIND({"省"},A210),0),IFERROR(FIND({"市"},A210),0),IFERROR(FIND({"区"},A210),0),IFERROR(FIND({"县"},A210),0))+1,FIND("街道",A210)-MAX(IFERROR(FIND({"省"},A210),0),IFERROR(FIND({"市"},A210),0),IFERROR(FIND({"区"},A210),0),IFERROR(FIND({"县"},A210),0))-1+2)</f>
        <v>金山桥街道</v>
      </c>
      <c r="O210" s="4" t="str" cm="1">
        <f t="array" ref="O210">_xlfn.LET(_xlpm.fullText,A210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210" s="4" t="str" cm="1">
        <f t="array" ref="Q210">_xlfn.LET(_xlpm.fullText,A210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211" ht="28.8" spans="1:17">
      <c r="A211" s="3" t="s">
        <v>111</v>
      </c>
      <c r="K211" s="4" t="str" cm="1">
        <f t="array" ref="K211">MID(A211,MAX(IFERROR(FIND({"省","市","区","县"},A211),0))+1,FIND("街道",A211)-MAX(IFERROR(FIND({"省","市","区","县"},A211),0))-1+2)</f>
        <v>金山桥街道</v>
      </c>
      <c r="M211" s="4" t="str" cm="1">
        <f t="array" ref="M211">MID(A211,MAX(IFERROR(FIND({"省"},A211),0),IFERROR(FIND({"市"},A211),0),IFERROR(FIND({"区"},A211),0),IFERROR(FIND({"县"},A211),0))+1,FIND("街道",A211)-MAX(IFERROR(FIND({"省"},A211),0),IFERROR(FIND({"市"},A211),0),IFERROR(FIND({"区"},A211),0),IFERROR(FIND({"县"},A211),0))-1+2)</f>
        <v>金山桥街道</v>
      </c>
      <c r="O211" s="4" t="str" cm="1">
        <f t="array" ref="O211">_xlfn.LET(_xlpm.fullText,A211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211" s="4" t="str" cm="1">
        <f t="array" ref="Q211">_xlfn.LET(_xlpm.fullText,A211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212" ht="28.8" spans="1:17">
      <c r="A212" s="3" t="s">
        <v>111</v>
      </c>
      <c r="K212" s="4" t="str" cm="1">
        <f t="array" ref="K212">MID(A212,MAX(IFERROR(FIND({"省","市","区","县"},A212),0))+1,FIND("街道",A212)-MAX(IFERROR(FIND({"省","市","区","县"},A212),0))-1+2)</f>
        <v>金山桥街道</v>
      </c>
      <c r="M212" s="4" t="str" cm="1">
        <f t="array" ref="M212">MID(A212,MAX(IFERROR(FIND({"省"},A212),0),IFERROR(FIND({"市"},A212),0),IFERROR(FIND({"区"},A212),0),IFERROR(FIND({"县"},A212),0))+1,FIND("街道",A212)-MAX(IFERROR(FIND({"省"},A212),0),IFERROR(FIND({"市"},A212),0),IFERROR(FIND({"区"},A212),0),IFERROR(FIND({"县"},A212),0))-1+2)</f>
        <v>金山桥街道</v>
      </c>
      <c r="O212" s="4" t="str" cm="1">
        <f t="array" ref="O212">_xlfn.LET(_xlpm.fullText,A212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212" s="4" t="str" cm="1">
        <f t="array" ref="Q212">_xlfn.LET(_xlpm.fullText,A212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213" ht="28.8" spans="1:17">
      <c r="A213" s="3" t="s">
        <v>111</v>
      </c>
      <c r="K213" s="4" t="str" cm="1">
        <f t="array" ref="K213">MID(A213,MAX(IFERROR(FIND({"省","市","区","县"},A213),0))+1,FIND("街道",A213)-MAX(IFERROR(FIND({"省","市","区","县"},A213),0))-1+2)</f>
        <v>金山桥街道</v>
      </c>
      <c r="M213" s="4" t="str" cm="1">
        <f t="array" ref="M213">MID(A213,MAX(IFERROR(FIND({"省"},A213),0),IFERROR(FIND({"市"},A213),0),IFERROR(FIND({"区"},A213),0),IFERROR(FIND({"县"},A213),0))+1,FIND("街道",A213)-MAX(IFERROR(FIND({"省"},A213),0),IFERROR(FIND({"市"},A213),0),IFERROR(FIND({"区"},A213),0),IFERROR(FIND({"县"},A213),0))-1+2)</f>
        <v>金山桥街道</v>
      </c>
      <c r="O213" s="4" t="str" cm="1">
        <f t="array" ref="O213">_xlfn.LET(_xlpm.fullText,A213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213" s="4" t="str" cm="1">
        <f t="array" ref="Q213">_xlfn.LET(_xlpm.fullText,A213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214" spans="1:17">
      <c r="A214" s="3" t="s">
        <v>114</v>
      </c>
      <c r="K214" s="4" t="str" cm="1">
        <f t="array" ref="K214">MID(A214,MAX(IFERROR(FIND({"省","市","区","县"},A214),0))+1,FIND("街道",A214)-MAX(IFERROR(FIND({"省","市","区","县"},A214),0))-1+2)</f>
        <v>湖滨街道</v>
      </c>
      <c r="M214" s="4" t="str" cm="1">
        <f t="array" ref="M214">MID(A214,MAX(IFERROR(FIND({"省"},A214),0),IFERROR(FIND({"市"},A214),0),IFERROR(FIND({"区"},A214),0),IFERROR(FIND({"县"},A214),0))+1,FIND("街道",A214)-MAX(IFERROR(FIND({"省"},A214),0),IFERROR(FIND({"市"},A214),0),IFERROR(FIND({"区"},A214),0),IFERROR(FIND({"县"},A214),0))-1+2)</f>
        <v>湖滨街道</v>
      </c>
      <c r="O214" s="4" t="str" cm="1">
        <f t="array" ref="O214">_xlfn.LET(_xlpm.fullText,A214,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214" s="4" t="str" cm="1">
        <f t="array" ref="Q214">_xlfn.LET(_xlpm.fullText,A214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215" spans="1:17">
      <c r="A215" s="3" t="s">
        <v>114</v>
      </c>
      <c r="K215" s="4" t="str" cm="1">
        <f t="array" ref="K215">MID(A215,MAX(IFERROR(FIND({"省","市","区","县"},A215),0))+1,FIND("街道",A215)-MAX(IFERROR(FIND({"省","市","区","县"},A215),0))-1+2)</f>
        <v>湖滨街道</v>
      </c>
      <c r="M215" s="4" t="str" cm="1">
        <f t="array" ref="M215">MID(A215,MAX(IFERROR(FIND({"省"},A215),0),IFERROR(FIND({"市"},A215),0),IFERROR(FIND({"区"},A215),0),IFERROR(FIND({"县"},A215),0))+1,FIND("街道",A215)-MAX(IFERROR(FIND({"省"},A215),0),IFERROR(FIND({"市"},A215),0),IFERROR(FIND({"区"},A215),0),IFERROR(FIND({"县"},A215),0))-1+2)</f>
        <v>湖滨街道</v>
      </c>
      <c r="O215" s="4" t="str" cm="1">
        <f t="array" ref="O215">_xlfn.LET(_xlpm.fullText,A215,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215" s="4" t="str" cm="1">
        <f t="array" ref="Q215">_xlfn.LET(_xlpm.fullText,A215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216" spans="1:17">
      <c r="A216" s="3" t="s">
        <v>115</v>
      </c>
      <c r="K216" s="4" t="str" cm="1">
        <f t="array" ref="K216">MID(A216,MAX(IFERROR(FIND({"省","市","区","县"},A216),0))+1,FIND("街道",A216)-MAX(IFERROR(FIND({"省","市","区","县"},A216),0))-1+2)</f>
        <v>清源街道</v>
      </c>
      <c r="M216" s="4" t="str" cm="1">
        <f t="array" ref="M216">MID(A216,MAX(IFERROR(FIND({"省"},A216),0),IFERROR(FIND({"市"},A216),0),IFERROR(FIND({"区"},A216),0),IFERROR(FIND({"县"},A216),0))+1,FIND("街道",A216)-MAX(IFERROR(FIND({"省"},A216),0),IFERROR(FIND({"市"},A216),0),IFERROR(FIND({"区"},A216),0),IFERROR(FIND({"县"},A216),0))-1+2)</f>
        <v>清源街道</v>
      </c>
      <c r="O216" s="4" t="str" cm="1">
        <f t="array" ref="O216">_xlfn.LET(_xlpm.fullText,A216,_xlpm.streetPos,FIND("街道",_xlpm.fullText)+2,_xlpm.prefixText,LEFT(_xlpm.fullText,_xlpm.streetPos-1),_xlpm.adminPos,MAX(IFERROR(FIND({"省","市","区","县"},_xlpm.prefixText),0)),IF(_xlpm.adminPos&gt;0,MID(_xlpm.prefixText,_xlpm.adminPos+1,_xlpm.streetPos-_xlpm.adminPos-3+2),LEFT(_xlpm.prefixText,FIND("街道",_xlpm.prefixText)-1+2)))</f>
        <v>清源街道</v>
      </c>
      <c r="Q216" s="4" t="str" cm="1">
        <f t="array" ref="Q216">_xlfn.LET(_xlpm.fullText,A216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清源街道</v>
      </c>
    </row>
    <row r="217" ht="28.8" spans="1:17">
      <c r="A217" s="3" t="s">
        <v>116</v>
      </c>
      <c r="K217" s="4" t="str" cm="1">
        <f t="array" ref="K217">MID(A217,MAX(IFERROR(FIND({"省","市","区","县"},A217),0))+1,FIND("街道",A217)-MAX(IFERROR(FIND({"省","市","区","县"},A217),0))-1+2)</f>
        <v>福清市宏路街道</v>
      </c>
      <c r="M217" s="4" t="str" cm="1">
        <f t="array" ref="M217">MID(A217,MAX(IFERROR(FIND({"省"},A217),0),IFERROR(FIND({"市"},A217),0),IFERROR(FIND({"区"},A217),0),IFERROR(FIND({"县"},A217),0))+1,FIND("街道",A217)-MAX(IFERROR(FIND({"省"},A217),0),IFERROR(FIND({"市"},A217),0),IFERROR(FIND({"区"},A217),0),IFERROR(FIND({"县"},A217),0))-1+2)</f>
        <v>福清市宏路街道</v>
      </c>
      <c r="O217" s="4" t="str" cm="1">
        <f t="array" ref="O217">_xlfn.LET(_xlpm.fullText,A217,_xlpm.streetPos,FIND("街道",_xlpm.fullText)+2,_xlpm.prefixText,LEFT(_xlpm.fullText,_xlpm.streetPos-1),_xlpm.adminPos,MAX(IFERROR(FIND({"省","市","区","县"},_xlpm.prefixText),0)),IF(_xlpm.adminPos&gt;0,MID(_xlpm.prefixText,_xlpm.adminPos+1,_xlpm.streetPos-_xlpm.adminPos-3+2),LEFT(_xlpm.prefixText,FIND("街道",_xlpm.prefixText)-1+2)))</f>
        <v>福清市宏路街道</v>
      </c>
      <c r="Q217" s="4" t="str" cm="1">
        <f t="array" ref="Q217">_xlfn.LET(_xlpm.fullText,A217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宏路街道</v>
      </c>
    </row>
    <row r="218" spans="1:17">
      <c r="A218" s="3" t="s">
        <v>74</v>
      </c>
      <c r="K218" s="4" t="str" cm="1">
        <f t="array" ref="K218">MID(A218,MAX(IFERROR(FIND({"省","市","区","县"},A218),0))+1,FIND("街道",A218)-MAX(IFERROR(FIND({"省","市","区","县"},A218),0))-1+2)</f>
        <v>湖里街道</v>
      </c>
      <c r="M218" s="4" t="str" cm="1">
        <f t="array" ref="M218">MID(A218,MAX(IFERROR(FIND({"省"},A218),0),IFERROR(FIND({"市"},A218),0),IFERROR(FIND({"区"},A218),0),IFERROR(FIND({"县"},A218),0))+1,FIND("街道",A218)-MAX(IFERROR(FIND({"省"},A218),0),IFERROR(FIND({"市"},A218),0),IFERROR(FIND({"区"},A218),0),IFERROR(FIND({"县"},A218),0))-1+2)</f>
        <v>湖里街道</v>
      </c>
      <c r="O218" s="4" t="str" cm="1">
        <f t="array" ref="O218">_xlfn.LET(_xlpm.fullText,A218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18" s="4" t="str" cm="1">
        <f t="array" ref="Q218">_xlfn.LET(_xlpm.fullText,A218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19" spans="1:17">
      <c r="A219" s="3" t="s">
        <v>86</v>
      </c>
      <c r="K219" s="4" t="str" cm="1">
        <f t="array" ref="K219">MID(A219,MAX(IFERROR(FIND({"省","市","区","县"},A219),0))+1,FIND("街道",A219)-MAX(IFERROR(FIND({"省","市","区","县"},A219),0))-1+2)</f>
        <v>湖里街道</v>
      </c>
      <c r="M219" s="4" t="str" cm="1">
        <f t="array" ref="M219">MID(A219,MAX(IFERROR(FIND({"省"},A219),0),IFERROR(FIND({"市"},A219),0),IFERROR(FIND({"区"},A219),0),IFERROR(FIND({"县"},A219),0))+1,FIND("街道",A219)-MAX(IFERROR(FIND({"省"},A219),0),IFERROR(FIND({"市"},A219),0),IFERROR(FIND({"区"},A219),0),IFERROR(FIND({"县"},A219),0))-1+2)</f>
        <v>湖里街道</v>
      </c>
      <c r="O219" s="4" t="str" cm="1">
        <f t="array" ref="O219">_xlfn.LET(_xlpm.fullText,A219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19" s="4" t="str" cm="1">
        <f t="array" ref="Q219">_xlfn.LET(_xlpm.fullText,A219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20" spans="1:17">
      <c r="A220" s="3" t="s">
        <v>86</v>
      </c>
      <c r="K220" s="4" t="str" cm="1">
        <f t="array" ref="K220">MID(A220,MAX(IFERROR(FIND({"省","市","区","县"},A220),0))+1,FIND("街道",A220)-MAX(IFERROR(FIND({"省","市","区","县"},A220),0))-1+2)</f>
        <v>湖里街道</v>
      </c>
      <c r="M220" s="4" t="str" cm="1">
        <f t="array" ref="M220">MID(A220,MAX(IFERROR(FIND({"省"},A220),0),IFERROR(FIND({"市"},A220),0),IFERROR(FIND({"区"},A220),0),IFERROR(FIND({"县"},A220),0))+1,FIND("街道",A220)-MAX(IFERROR(FIND({"省"},A220),0),IFERROR(FIND({"市"},A220),0),IFERROR(FIND({"区"},A220),0),IFERROR(FIND({"县"},A220),0))-1+2)</f>
        <v>湖里街道</v>
      </c>
      <c r="O220" s="4" t="str" cm="1">
        <f t="array" ref="O220">_xlfn.LET(_xlpm.fullText,A220,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20" s="4" t="str" cm="1">
        <f t="array" ref="Q220">_xlfn.LET(_xlpm.fullText,A220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21" spans="1:17">
      <c r="A221" s="3" t="s">
        <v>54</v>
      </c>
      <c r="K221" s="4" t="str" cm="1">
        <f t="array" ref="K221">MID(A221,MAX(IFERROR(FIND({"省","市","区","县"},A221),0))+1,FIND("街道",A221)-MAX(IFERROR(FIND({"省","市","区","县"},A221),0))-1+2)</f>
        <v>东海街道</v>
      </c>
      <c r="M221" s="4" t="str" cm="1">
        <f t="array" ref="M221">MID(A221,MAX(IFERROR(FIND({"省"},A221),0),IFERROR(FIND({"市"},A221),0),IFERROR(FIND({"区"},A221),0),IFERROR(FIND({"县"},A221),0))+1,FIND("街道",A221)-MAX(IFERROR(FIND({"省"},A221),0),IFERROR(FIND({"市"},A221),0),IFERROR(FIND({"区"},A221),0),IFERROR(FIND({"县"},A221),0))-1+2)</f>
        <v>东海街道</v>
      </c>
      <c r="O221" s="4" t="str" cm="1">
        <f t="array" ref="O221">_xlfn.LET(_xlpm.fullText,A221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21" s="4" t="str" cm="1">
        <f t="array" ref="Q221">_xlfn.LET(_xlpm.fullText,A221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22" spans="1:17">
      <c r="A222" s="3" t="s">
        <v>54</v>
      </c>
      <c r="K222" s="4" t="str" cm="1">
        <f t="array" ref="K222">MID(A222,MAX(IFERROR(FIND({"省","市","区","县"},A222),0))+1,FIND("街道",A222)-MAX(IFERROR(FIND({"省","市","区","县"},A222),0))-1+2)</f>
        <v>东海街道</v>
      </c>
      <c r="M222" s="4" t="str" cm="1">
        <f t="array" ref="M222">MID(A222,MAX(IFERROR(FIND({"省"},A222),0),IFERROR(FIND({"市"},A222),0),IFERROR(FIND({"区"},A222),0),IFERROR(FIND({"县"},A222),0))+1,FIND("街道",A222)-MAX(IFERROR(FIND({"省"},A222),0),IFERROR(FIND({"市"},A222),0),IFERROR(FIND({"区"},A222),0),IFERROR(FIND({"县"},A222),0))-1+2)</f>
        <v>东海街道</v>
      </c>
      <c r="O222" s="4" t="str" cm="1">
        <f t="array" ref="O222">_xlfn.LET(_xlpm.fullText,A222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22" s="4" t="str" cm="1">
        <f t="array" ref="Q222">_xlfn.LET(_xlpm.fullText,A222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23" spans="1:17">
      <c r="A223" s="3" t="s">
        <v>117</v>
      </c>
      <c r="K223" s="4" t="str" cm="1">
        <f t="array" ref="K223">MID(A223,MAX(IFERROR(FIND({"省","市","区","县"},A223),0))+1,FIND("街道",A223)-MAX(IFERROR(FIND({"省","市","区","县"},A223),0))-1+2)</f>
        <v>海沧街道</v>
      </c>
      <c r="M223" s="4" t="str" cm="1">
        <f t="array" ref="M223">MID(A223,MAX(IFERROR(FIND({"省"},A223),0),IFERROR(FIND({"市"},A223),0),IFERROR(FIND({"区"},A223),0),IFERROR(FIND({"县"},A223),0))+1,FIND("街道",A223)-MAX(IFERROR(FIND({"省"},A223),0),IFERROR(FIND({"市"},A223),0),IFERROR(FIND({"区"},A223),0),IFERROR(FIND({"县"},A223),0))-1+2)</f>
        <v>海沧街道</v>
      </c>
      <c r="O223" s="4" t="str" cm="1">
        <f t="array" ref="O223">_xlfn.LET(_xlpm.fullText,A223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223" s="4" t="str" cm="1">
        <f t="array" ref="Q223">_xlfn.LET(_xlpm.fullText,A223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224" spans="1:17">
      <c r="A224" s="3" t="s">
        <v>118</v>
      </c>
      <c r="K224" s="4" t="str" cm="1">
        <f t="array" ref="K224">MID(A224,MAX(IFERROR(FIND({"省","市","区","县"},A224),0))+1,FIND("街道",A224)-MAX(IFERROR(FIND({"省","市","区","县"},A224),0))-1+2)</f>
        <v>海沧街道</v>
      </c>
      <c r="M224" s="4" t="str" cm="1">
        <f t="array" ref="M224">MID(A224,MAX(IFERROR(FIND({"省"},A224),0),IFERROR(FIND({"市"},A224),0),IFERROR(FIND({"区"},A224),0),IFERROR(FIND({"县"},A224),0))+1,FIND("街道",A224)-MAX(IFERROR(FIND({"省"},A224),0),IFERROR(FIND({"市"},A224),0),IFERROR(FIND({"区"},A224),0),IFERROR(FIND({"县"},A224),0))-1+2)</f>
        <v>海沧街道</v>
      </c>
      <c r="O224" s="4" t="str" cm="1">
        <f t="array" ref="O224">_xlfn.LET(_xlpm.fullText,A224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224" s="4" t="str" cm="1">
        <f t="array" ref="Q224">_xlfn.LET(_xlpm.fullText,A224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225" spans="1:17">
      <c r="A225" s="3" t="s">
        <v>119</v>
      </c>
      <c r="K225" s="4" t="str" cm="1">
        <f t="array" ref="K225">MID(A225,MAX(IFERROR(FIND({"省","市","区","县"},A225),0))+1,FIND("街道",A225)-MAX(IFERROR(FIND({"省","市","区","县"},A225),0))-1+2)</f>
        <v>海沧街道</v>
      </c>
      <c r="M225" s="4" t="str" cm="1">
        <f t="array" ref="M225">MID(A225,MAX(IFERROR(FIND({"省"},A225),0),IFERROR(FIND({"市"},A225),0),IFERROR(FIND({"区"},A225),0),IFERROR(FIND({"县"},A225),0))+1,FIND("街道",A225)-MAX(IFERROR(FIND({"省"},A225),0),IFERROR(FIND({"市"},A225),0),IFERROR(FIND({"区"},A225),0),IFERROR(FIND({"县"},A225),0))-1+2)</f>
        <v>海沧街道</v>
      </c>
      <c r="O225" s="4" t="str" cm="1">
        <f t="array" ref="O225">_xlfn.LET(_xlpm.fullText,A225,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225" s="4" t="str" cm="1">
        <f t="array" ref="Q225">_xlfn.LET(_xlpm.fullText,A225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226" spans="1:17">
      <c r="A226" s="3" t="s">
        <v>120</v>
      </c>
      <c r="K226" s="4" t="str" cm="1">
        <f t="array" ref="K226">MID(A226,MAX(IFERROR(FIND({"省","市","区","县"},A226),0))+1,FIND("街道",A226)-MAX(IFERROR(FIND({"省","市","区","县"},A226),0))-1+2)</f>
        <v>殿前街道</v>
      </c>
      <c r="M226" s="4" t="str" cm="1">
        <f t="array" ref="M226">MID(A226,MAX(IFERROR(FIND({"省"},A226),0),IFERROR(FIND({"市"},A226),0),IFERROR(FIND({"区"},A226),0),IFERROR(FIND({"县"},A226),0))+1,FIND("街道",A226)-MAX(IFERROR(FIND({"省"},A226),0),IFERROR(FIND({"市"},A226),0),IFERROR(FIND({"区"},A226),0),IFERROR(FIND({"县"},A226),0))-1+2)</f>
        <v>殿前街道</v>
      </c>
      <c r="O226" s="4" t="str" cm="1">
        <f t="array" ref="O226">_xlfn.LET(_xlpm.fullText,A226,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226" s="4" t="str" cm="1">
        <f t="array" ref="Q226">_xlfn.LET(_xlpm.fullText,A226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227" spans="1:17">
      <c r="A227" s="3" t="s">
        <v>121</v>
      </c>
      <c r="K227" s="4" t="str" cm="1">
        <f t="array" ref="K227">MID(A227,MAX(IFERROR(FIND({"省","市","区","县"},A227),0))+1,FIND("街道",A227)-MAX(IFERROR(FIND({"省","市","区","县"},A227),0))-1+2)</f>
        <v>湖里街道</v>
      </c>
      <c r="M227" s="4" t="str" cm="1">
        <f t="array" ref="M227">MID(A227,MAX(IFERROR(FIND({"省"},A227),0),IFERROR(FIND({"市"},A227),0),IFERROR(FIND({"区"},A227),0),IFERROR(FIND({"县"},A227),0))+1,FIND("街道",A227)-MAX(IFERROR(FIND({"省"},A227),0),IFERROR(FIND({"市"},A227),0),IFERROR(FIND({"区"},A227),0),IFERROR(FIND({"县"},A227),0))-1+2)</f>
        <v>湖里街道</v>
      </c>
      <c r="O227" s="4" t="str" cm="1">
        <f t="array" ref="O227">_xlfn.LET(_xlpm.fullText,A227,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27" s="4" t="str" cm="1">
        <f t="array" ref="Q227">_xlfn.LET(_xlpm.fullText,A227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28" spans="1:17">
      <c r="A228" s="3" t="s">
        <v>122</v>
      </c>
      <c r="K228" s="4" t="str" cm="1">
        <f t="array" ref="K228">MID(A228,MAX(IFERROR(FIND({"省","市","区","县"},A228),0))+1,FIND("街道",A228)-MAX(IFERROR(FIND({"省","市","区","县"},A228),0))-1+2)</f>
        <v>东海街道</v>
      </c>
      <c r="M228" s="4" t="str" cm="1">
        <f t="array" ref="M228">MID(A228,MAX(IFERROR(FIND({"省"},A228),0),IFERROR(FIND({"市"},A228),0),IFERROR(FIND({"区"},A228),0),IFERROR(FIND({"县"},A228),0))+1,FIND("街道",A228)-MAX(IFERROR(FIND({"省"},A228),0),IFERROR(FIND({"市"},A228),0),IFERROR(FIND({"区"},A228),0),IFERROR(FIND({"县"},A228),0))-1+2)</f>
        <v>东海街道</v>
      </c>
      <c r="O228" s="4" t="str" cm="1">
        <f t="array" ref="O228">_xlfn.LET(_xlpm.fullText,A228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28" s="4" t="str" cm="1">
        <f t="array" ref="Q228">_xlfn.LET(_xlpm.fullText,A228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29" spans="1:17">
      <c r="A229" s="3" t="s">
        <v>123</v>
      </c>
      <c r="K229" s="4" t="str" cm="1">
        <f t="array" ref="K229">MID(A229,MAX(IFERROR(FIND({"省","市","区","县"},A229),0))+1,FIND("街道",A229)-MAX(IFERROR(FIND({"省","市","区","县"},A229),0))-1+2)</f>
        <v>丰泽街道</v>
      </c>
      <c r="M229" s="4" t="str" cm="1">
        <f t="array" ref="M229">MID(A229,MAX(IFERROR(FIND({"省"},A229),0),IFERROR(FIND({"市"},A229),0),IFERROR(FIND({"区"},A229),0),IFERROR(FIND({"县"},A229),0))+1,FIND("街道",A229)-MAX(IFERROR(FIND({"省"},A229),0),IFERROR(FIND({"市"},A229),0),IFERROR(FIND({"区"},A229),0),IFERROR(FIND({"县"},A229),0))-1+2)</f>
        <v>丰泽街道</v>
      </c>
      <c r="O229" s="4" t="str" cm="1">
        <f t="array" ref="O229">_xlfn.LET(_xlpm.fullText,A229,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229" s="4" t="str" cm="1">
        <f t="array" ref="Q229">_xlfn.LET(_xlpm.fullText,A229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230" spans="1:17">
      <c r="A230" s="3" t="s">
        <v>123</v>
      </c>
      <c r="K230" s="4" t="str" cm="1">
        <f t="array" ref="K230">MID(A230,MAX(IFERROR(FIND({"省","市","区","县"},A230),0))+1,FIND("街道",A230)-MAX(IFERROR(FIND({"省","市","区","县"},A230),0))-1+2)</f>
        <v>丰泽街道</v>
      </c>
      <c r="M230" s="4" t="str" cm="1">
        <f t="array" ref="M230">MID(A230,MAX(IFERROR(FIND({"省"},A230),0),IFERROR(FIND({"市"},A230),0),IFERROR(FIND({"区"},A230),0),IFERROR(FIND({"县"},A230),0))+1,FIND("街道",A230)-MAX(IFERROR(FIND({"省"},A230),0),IFERROR(FIND({"市"},A230),0),IFERROR(FIND({"区"},A230),0),IFERROR(FIND({"县"},A230),0))-1+2)</f>
        <v>丰泽街道</v>
      </c>
      <c r="O230" s="4" t="str" cm="1">
        <f t="array" ref="O230">_xlfn.LET(_xlpm.fullText,A230,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230" s="4" t="str" cm="1">
        <f t="array" ref="Q230">_xlfn.LET(_xlpm.fullText,A230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231" spans="1:17">
      <c r="A231" s="3" t="s">
        <v>27</v>
      </c>
      <c r="K231" s="4" t="str" cm="1">
        <f t="array" ref="K231">MID(A231,MAX(IFERROR(FIND({"省","市","区","县"},A231),0))+1,FIND("街道",A231)-MAX(IFERROR(FIND({"省","市","区","县"},A231),0))-1+2)</f>
        <v>东海街道</v>
      </c>
      <c r="M231" s="4" t="str" cm="1">
        <f t="array" ref="M231">MID(A231,MAX(IFERROR(FIND({"省"},A231),0),IFERROR(FIND({"市"},A231),0),IFERROR(FIND({"区"},A231),0),IFERROR(FIND({"县"},A231),0))+1,FIND("街道",A231)-MAX(IFERROR(FIND({"省"},A231),0),IFERROR(FIND({"市"},A231),0),IFERROR(FIND({"区"},A231),0),IFERROR(FIND({"县"},A231),0))-1+2)</f>
        <v>东海街道</v>
      </c>
      <c r="O231" s="4" t="str" cm="1">
        <f t="array" ref="O231">_xlfn.LET(_xlpm.fullText,A231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31" s="4" t="str" cm="1">
        <f t="array" ref="Q231">_xlfn.LET(_xlpm.fullText,A231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32" spans="1:17">
      <c r="A232" s="3" t="s">
        <v>27</v>
      </c>
      <c r="K232" s="4" t="str" cm="1">
        <f t="array" ref="K232">MID(A232,MAX(IFERROR(FIND({"省","市","区","县"},A232),0))+1,FIND("街道",A232)-MAX(IFERROR(FIND({"省","市","区","县"},A232),0))-1+2)</f>
        <v>东海街道</v>
      </c>
      <c r="M232" s="4" t="str" cm="1">
        <f t="array" ref="M232">MID(A232,MAX(IFERROR(FIND({"省"},A232),0),IFERROR(FIND({"市"},A232),0),IFERROR(FIND({"区"},A232),0),IFERROR(FIND({"县"},A232),0))+1,FIND("街道",A232)-MAX(IFERROR(FIND({"省"},A232),0),IFERROR(FIND({"市"},A232),0),IFERROR(FIND({"区"},A232),0),IFERROR(FIND({"县"},A232),0))-1+2)</f>
        <v>东海街道</v>
      </c>
      <c r="O232" s="4" t="str" cm="1">
        <f t="array" ref="O232">_xlfn.LET(_xlpm.fullText,A232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32" s="4" t="str" cm="1">
        <f t="array" ref="Q232">_xlfn.LET(_xlpm.fullText,A232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33" spans="1:17">
      <c r="A233" s="3" t="s">
        <v>76</v>
      </c>
      <c r="K233" s="4" t="str" cm="1">
        <f t="array" ref="K233">MID(A233,MAX(IFERROR(FIND({"省","市","区","县"},A233),0))+1,FIND("街道",A233)-MAX(IFERROR(FIND({"省","市","区","县"},A233),0))-1+2)</f>
        <v>殿前街道</v>
      </c>
      <c r="M233" s="4" t="str" cm="1">
        <f t="array" ref="M233">MID(A233,MAX(IFERROR(FIND({"省"},A233),0),IFERROR(FIND({"市"},A233),0),IFERROR(FIND({"区"},A233),0),IFERROR(FIND({"县"},A233),0))+1,FIND("街道",A233)-MAX(IFERROR(FIND({"省"},A233),0),IFERROR(FIND({"市"},A233),0),IFERROR(FIND({"区"},A233),0),IFERROR(FIND({"县"},A233),0))-1+2)</f>
        <v>殿前街道</v>
      </c>
      <c r="O233" s="4" t="str" cm="1">
        <f t="array" ref="O233">_xlfn.LET(_xlpm.fullText,A233,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233" s="4" t="str" cm="1">
        <f t="array" ref="Q233">_xlfn.LET(_xlpm.fullText,A233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234" spans="1:17">
      <c r="A234" s="3" t="s">
        <v>124</v>
      </c>
      <c r="K234" s="4" t="str" cm="1">
        <f t="array" ref="K234">MID(A234,MAX(IFERROR(FIND({"省","市","区","县"},A234),0))+1,FIND("街道",A234)-MAX(IFERROR(FIND({"省","市","区","县"},A234),0))-1+2)</f>
        <v>新阳街道</v>
      </c>
      <c r="M234" s="4" t="str" cm="1">
        <f t="array" ref="M234">MID(A234,MAX(IFERROR(FIND({"省"},A234),0),IFERROR(FIND({"市"},A234),0),IFERROR(FIND({"区"},A234),0),IFERROR(FIND({"县"},A234),0))+1,FIND("街道",A234)-MAX(IFERROR(FIND({"省"},A234),0),IFERROR(FIND({"市"},A234),0),IFERROR(FIND({"区"},A234),0),IFERROR(FIND({"县"},A234),0))-1+2)</f>
        <v>新阳街道</v>
      </c>
      <c r="O234" s="4" t="str" cm="1">
        <f t="array" ref="O234">_xlfn.LET(_xlpm.fullText,A234,_xlpm.streetPos,FIND("街道",_xlpm.fullText)+2,_xlpm.prefixText,LEFT(_xlpm.fullText,_xlpm.streetPos-1),_xlpm.adminPos,MAX(IFERROR(FIND({"省","市","区","县"},_xlpm.prefixText),0)),IF(_xlpm.adminPos&gt;0,MID(_xlpm.prefixText,_xlpm.adminPos+1,_xlpm.streetPos-_xlpm.adminPos-3+2),LEFT(_xlpm.prefixText,FIND("街道",_xlpm.prefixText)-1+2)))</f>
        <v>新阳街道</v>
      </c>
      <c r="Q234" s="4" t="str" cm="1">
        <f t="array" ref="Q234">_xlfn.LET(_xlpm.fullText,A234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新阳街道</v>
      </c>
    </row>
    <row r="235" spans="1:17">
      <c r="A235" s="3" t="s">
        <v>125</v>
      </c>
      <c r="K235" s="4" t="str" cm="1">
        <f t="array" ref="K235">MID(A235,MAX(IFERROR(FIND({"省","市","区","县"},A235),0))+1,FIND("街道",A235)-MAX(IFERROR(FIND({"省","市","区","县"},A235),0))-1+2)</f>
        <v>殿前街道</v>
      </c>
      <c r="M235" s="4" t="str" cm="1">
        <f t="array" ref="M235">MID(A235,MAX(IFERROR(FIND({"省"},A235),0),IFERROR(FIND({"市"},A235),0),IFERROR(FIND({"区"},A235),0),IFERROR(FIND({"县"},A235),0))+1,FIND("街道",A235)-MAX(IFERROR(FIND({"省"},A235),0),IFERROR(FIND({"市"},A235),0),IFERROR(FIND({"区"},A235),0),IFERROR(FIND({"县"},A235),0))-1+2)</f>
        <v>殿前街道</v>
      </c>
      <c r="O235" s="4" t="str" cm="1">
        <f t="array" ref="O235">_xlfn.LET(_xlpm.fullText,A235,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235" s="4" t="str" cm="1">
        <f t="array" ref="Q235">_xlfn.LET(_xlpm.fullText,A235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236" spans="1:17">
      <c r="A236" s="3" t="s">
        <v>27</v>
      </c>
      <c r="K236" s="4" t="str" cm="1">
        <f t="array" ref="K236">MID(A236,MAX(IFERROR(FIND({"省","市","区","县"},A236),0))+1,FIND("街道",A236)-MAX(IFERROR(FIND({"省","市","区","县"},A236),0))-1+2)</f>
        <v>东海街道</v>
      </c>
      <c r="M236" s="4" t="str" cm="1">
        <f t="array" ref="M236">MID(A236,MAX(IFERROR(FIND({"省"},A236),0),IFERROR(FIND({"市"},A236),0),IFERROR(FIND({"区"},A236),0),IFERROR(FIND({"县"},A236),0))+1,FIND("街道",A236)-MAX(IFERROR(FIND({"省"},A236),0),IFERROR(FIND({"市"},A236),0),IFERROR(FIND({"区"},A236),0),IFERROR(FIND({"县"},A236),0))-1+2)</f>
        <v>东海街道</v>
      </c>
      <c r="O236" s="4" t="str" cm="1">
        <f t="array" ref="O236">_xlfn.LET(_xlpm.fullText,A236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36" s="4" t="str" cm="1">
        <f t="array" ref="Q236">_xlfn.LET(_xlpm.fullText,A236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37" spans="1:17">
      <c r="A237" s="3" t="s">
        <v>27</v>
      </c>
      <c r="K237" s="4" t="str" cm="1">
        <f t="array" ref="K237">MID(A237,MAX(IFERROR(FIND({"省","市","区","县"},A237),0))+1,FIND("街道",A237)-MAX(IFERROR(FIND({"省","市","区","县"},A237),0))-1+2)</f>
        <v>东海街道</v>
      </c>
      <c r="M237" s="4" t="str" cm="1">
        <f t="array" ref="M237">MID(A237,MAX(IFERROR(FIND({"省"},A237),0),IFERROR(FIND({"市"},A237),0),IFERROR(FIND({"区"},A237),0),IFERROR(FIND({"县"},A237),0))+1,FIND("街道",A237)-MAX(IFERROR(FIND({"省"},A237),0),IFERROR(FIND({"市"},A237),0),IFERROR(FIND({"区"},A237),0),IFERROR(FIND({"县"},A237),0))-1+2)</f>
        <v>东海街道</v>
      </c>
      <c r="O237" s="4" t="str" cm="1">
        <f t="array" ref="O237">_xlfn.LET(_xlpm.fullText,A237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37" s="4" t="str" cm="1">
        <f t="array" ref="Q237">_xlfn.LET(_xlpm.fullText,A237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38" spans="1:17">
      <c r="A238" s="3" t="s">
        <v>126</v>
      </c>
      <c r="K238" s="4" t="str" cm="1">
        <f t="array" ref="K238">MID(A238,MAX(IFERROR(FIND({"省","市","区","县"},A238),0))+1,FIND("街道",A238)-MAX(IFERROR(FIND({"省","市","区","县"},A238),0))-1+2)</f>
        <v>金山街道</v>
      </c>
      <c r="M238" s="4" t="str" cm="1">
        <f t="array" ref="M238">MID(A238,MAX(IFERROR(FIND({"省"},A238),0),IFERROR(FIND({"市"},A238),0),IFERROR(FIND({"区"},A238),0),IFERROR(FIND({"县"},A238),0))+1,FIND("街道",A238)-MAX(IFERROR(FIND({"省"},A238),0),IFERROR(FIND({"市"},A238),0),IFERROR(FIND({"区"},A238),0),IFERROR(FIND({"县"},A238),0))-1+2)</f>
        <v>金山街道</v>
      </c>
      <c r="O238" s="4" t="str" cm="1">
        <f t="array" ref="O238">_xlfn.LET(_xlpm.fullText,A238,_xlpm.streetPos,FIND("街道",_xlpm.fullText)+2,_xlpm.prefixText,LEFT(_xlpm.fullText,_xlpm.streetPos-1),_xlpm.adminPos,MAX(IFERROR(FIND({"省","市","区","县"},_xlpm.prefixText),0)),IF(_xlpm.adminPos&gt;0,MID(_xlpm.prefixText,_xlpm.adminPos+1,_xlpm.streetPos-_xlpm.adminPos-3+2),LEFT(_xlpm.prefixText,FIND("街道",_xlpm.prefixText)-1+2)))</f>
        <v>金山街道</v>
      </c>
      <c r="Q238" s="4" t="str" cm="1">
        <f t="array" ref="Q238">_xlfn.LET(_xlpm.fullText,A238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金山街道</v>
      </c>
    </row>
    <row r="239" spans="1:17">
      <c r="A239" s="3" t="s">
        <v>127</v>
      </c>
      <c r="K239" s="4" t="str" cm="1">
        <f t="array" ref="K239">MID(A239,MAX(IFERROR(FIND({"省","市","区","县"},A239),0))+1,FIND("街道",A239)-MAX(IFERROR(FIND({"省","市","区","县"},A239),0))-1+2)</f>
        <v>东海街道</v>
      </c>
      <c r="M239" s="4" t="str" cm="1">
        <f t="array" ref="M239">MID(A239,MAX(IFERROR(FIND({"省"},A239),0),IFERROR(FIND({"市"},A239),0),IFERROR(FIND({"区"},A239),0),IFERROR(FIND({"县"},A239),0))+1,FIND("街道",A239)-MAX(IFERROR(FIND({"省"},A239),0),IFERROR(FIND({"市"},A239),0),IFERROR(FIND({"区"},A239),0),IFERROR(FIND({"县"},A239),0))-1+2)</f>
        <v>东海街道</v>
      </c>
      <c r="O239" s="4" t="str" cm="1">
        <f t="array" ref="O239">_xlfn.LET(_xlpm.fullText,A239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39" s="4" t="str" cm="1">
        <f t="array" ref="Q239">_xlfn.LET(_xlpm.fullText,A239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0" spans="1:17">
      <c r="A240" s="3" t="s">
        <v>127</v>
      </c>
      <c r="K240" s="4" t="str" cm="1">
        <f t="array" ref="K240">MID(A240,MAX(IFERROR(FIND({"省","市","区","县"},A240),0))+1,FIND("街道",A240)-MAX(IFERROR(FIND({"省","市","区","县"},A240),0))-1+2)</f>
        <v>东海街道</v>
      </c>
      <c r="M240" s="4" t="str" cm="1">
        <f t="array" ref="M240">MID(A240,MAX(IFERROR(FIND({"省"},A240),0),IFERROR(FIND({"市"},A240),0),IFERROR(FIND({"区"},A240),0),IFERROR(FIND({"县"},A240),0))+1,FIND("街道",A240)-MAX(IFERROR(FIND({"省"},A240),0),IFERROR(FIND({"市"},A240),0),IFERROR(FIND({"区"},A240),0),IFERROR(FIND({"县"},A240),0))-1+2)</f>
        <v>东海街道</v>
      </c>
      <c r="O240" s="4" t="str" cm="1">
        <f t="array" ref="O240">_xlfn.LET(_xlpm.fullText,A240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40" s="4" t="str" cm="1">
        <f t="array" ref="Q240">_xlfn.LET(_xlpm.fullText,A240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1" spans="1:17">
      <c r="A241" s="3" t="s">
        <v>128</v>
      </c>
      <c r="K241" s="4" t="str" cm="1">
        <f t="array" ref="K241">MID(A241,MAX(IFERROR(FIND({"省","市","区","县"},A241),0))+1,FIND("街道",A241)-MAX(IFERROR(FIND({"省","市","区","县"},A241),0))-1+2)</f>
        <v>城东街道</v>
      </c>
      <c r="M241" s="4" t="str" cm="1">
        <f t="array" ref="M241">MID(A241,MAX(IFERROR(FIND({"省"},A241),0),IFERROR(FIND({"市"},A241),0),IFERROR(FIND({"区"},A241),0),IFERROR(FIND({"县"},A241),0))+1,FIND("街道",A241)-MAX(IFERROR(FIND({"省"},A241),0),IFERROR(FIND({"市"},A241),0),IFERROR(FIND({"区"},A241),0),IFERROR(FIND({"县"},A241),0))-1+2)</f>
        <v>城东街道</v>
      </c>
      <c r="O241" s="4" t="str" cm="1">
        <f t="array" ref="O241">_xlfn.LET(_xlpm.fullText,A241,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241" s="4" t="str" cm="1">
        <f t="array" ref="Q241">_xlfn.LET(_xlpm.fullText,A241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242" spans="1:17">
      <c r="A242" s="3" t="s">
        <v>129</v>
      </c>
      <c r="K242" s="4" t="str" cm="1">
        <f t="array" ref="K242">MID(A242,MAX(IFERROR(FIND({"省","市","区","县"},A242),0))+1,FIND("街道",A242)-MAX(IFERROR(FIND({"省","市","区","县"},A242),0))-1+2)</f>
        <v>海沧街道</v>
      </c>
      <c r="M242" s="4" t="str" cm="1">
        <f t="array" ref="M242">MID(A242,MAX(IFERROR(FIND({"省"},A242),0),IFERROR(FIND({"市"},A242),0),IFERROR(FIND({"区"},A242),0),IFERROR(FIND({"县"},A242),0))+1,FIND("街道",A242)-MAX(IFERROR(FIND({"省"},A242),0),IFERROR(FIND({"市"},A242),0),IFERROR(FIND({"区"},A242),0),IFERROR(FIND({"县"},A242),0))-1+2)</f>
        <v>海沧街道</v>
      </c>
      <c r="O242" s="4" t="str" cm="1">
        <f t="array" ref="O242">_xlfn.LET(_xlpm.fullText,A242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242" s="4" t="str" cm="1">
        <f t="array" ref="Q242">_xlfn.LET(_xlpm.fullText,A242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243" spans="1:17">
      <c r="A243" s="3" t="s">
        <v>129</v>
      </c>
      <c r="K243" s="4" t="str" cm="1">
        <f t="array" ref="K243">MID(A243,MAX(IFERROR(FIND({"省","市","区","县"},A243),0))+1,FIND("街道",A243)-MAX(IFERROR(FIND({"省","市","区","县"},A243),0))-1+2)</f>
        <v>海沧街道</v>
      </c>
      <c r="M243" s="4" t="str" cm="1">
        <f t="array" ref="M243">MID(A243,MAX(IFERROR(FIND({"省"},A243),0),IFERROR(FIND({"市"},A243),0),IFERROR(FIND({"区"},A243),0),IFERROR(FIND({"县"},A243),0))+1,FIND("街道",A243)-MAX(IFERROR(FIND({"省"},A243),0),IFERROR(FIND({"市"},A243),0),IFERROR(FIND({"区"},A243),0),IFERROR(FIND({"县"},A243),0))-1+2)</f>
        <v>海沧街道</v>
      </c>
      <c r="O243" s="4" t="str" cm="1">
        <f t="array" ref="O243">_xlfn.LET(_xlpm.fullText,A243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243" s="4" t="str" cm="1">
        <f t="array" ref="Q243">_xlfn.LET(_xlpm.fullText,A243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244" spans="1:17">
      <c r="A244" s="3" t="s">
        <v>54</v>
      </c>
      <c r="K244" s="4" t="str" cm="1">
        <f t="array" ref="K244">MID(A244,MAX(IFERROR(FIND({"省","市","区","县"},A244),0))+1,FIND("街道",A244)-MAX(IFERROR(FIND({"省","市","区","县"},A244),0))-1+2)</f>
        <v>东海街道</v>
      </c>
      <c r="M244" s="4" t="str" cm="1">
        <f t="array" ref="M244">MID(A244,MAX(IFERROR(FIND({"省"},A244),0),IFERROR(FIND({"市"},A244),0),IFERROR(FIND({"区"},A244),0),IFERROR(FIND({"县"},A244),0))+1,FIND("街道",A244)-MAX(IFERROR(FIND({"省"},A244),0),IFERROR(FIND({"市"},A244),0),IFERROR(FIND({"区"},A244),0),IFERROR(FIND({"县"},A244),0))-1+2)</f>
        <v>东海街道</v>
      </c>
      <c r="O244" s="4" t="str" cm="1">
        <f t="array" ref="O244">_xlfn.LET(_xlpm.fullText,A244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44" s="4" t="str" cm="1">
        <f t="array" ref="Q244">_xlfn.LET(_xlpm.fullText,A244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5" spans="1:17">
      <c r="A245" s="3" t="s">
        <v>54</v>
      </c>
      <c r="K245" s="4" t="str" cm="1">
        <f t="array" ref="K245">MID(A245,MAX(IFERROR(FIND({"省","市","区","县"},A245),0))+1,FIND("街道",A245)-MAX(IFERROR(FIND({"省","市","区","县"},A245),0))-1+2)</f>
        <v>东海街道</v>
      </c>
      <c r="M245" s="4" t="str" cm="1">
        <f t="array" ref="M245">MID(A245,MAX(IFERROR(FIND({"省"},A245),0),IFERROR(FIND({"市"},A245),0),IFERROR(FIND({"区"},A245),0),IFERROR(FIND({"县"},A245),0))+1,FIND("街道",A245)-MAX(IFERROR(FIND({"省"},A245),0),IFERROR(FIND({"市"},A245),0),IFERROR(FIND({"区"},A245),0),IFERROR(FIND({"县"},A245),0))-1+2)</f>
        <v>东海街道</v>
      </c>
      <c r="O245" s="4" t="str" cm="1">
        <f t="array" ref="O245">_xlfn.LET(_xlpm.fullText,A245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45" s="4" t="str" cm="1">
        <f t="array" ref="Q245">_xlfn.LET(_xlpm.fullText,A245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6" spans="1:17">
      <c r="A246" s="3" t="s">
        <v>54</v>
      </c>
      <c r="K246" s="4" t="str" cm="1">
        <f t="array" ref="K246">MID(A246,MAX(IFERROR(FIND({"省","市","区","县"},A246),0))+1,FIND("街道",A246)-MAX(IFERROR(FIND({"省","市","区","县"},A246),0))-1+2)</f>
        <v>东海街道</v>
      </c>
      <c r="M246" s="4" t="str" cm="1">
        <f t="array" ref="M246">MID(A246,MAX(IFERROR(FIND({"省"},A246),0),IFERROR(FIND({"市"},A246),0),IFERROR(FIND({"区"},A246),0),IFERROR(FIND({"县"},A246),0))+1,FIND("街道",A246)-MAX(IFERROR(FIND({"省"},A246),0),IFERROR(FIND({"市"},A246),0),IFERROR(FIND({"区"},A246),0),IFERROR(FIND({"县"},A246),0))-1+2)</f>
        <v>东海街道</v>
      </c>
      <c r="O246" s="4" t="str" cm="1">
        <f t="array" ref="O246">_xlfn.LET(_xlpm.fullText,A246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46" s="4" t="str" cm="1">
        <f t="array" ref="Q246">_xlfn.LET(_xlpm.fullText,A246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7" ht="28.8" spans="1:17">
      <c r="A247" s="3" t="s">
        <v>130</v>
      </c>
      <c r="K247" s="4" t="str" cm="1">
        <f t="array" ref="K247">MID(A247,MAX(IFERROR(FIND({"省","市","区","县"},A247),0))+1,FIND("街道",A247)-MAX(IFERROR(FIND({"省","市","区","县"},A247),0))-1+2)</f>
        <v>南安市溪美街道</v>
      </c>
      <c r="M247" s="4" t="str" cm="1">
        <f t="array" ref="M247">MID(A247,MAX(IFERROR(FIND({"省"},A247),0),IFERROR(FIND({"市"},A247),0),IFERROR(FIND({"区"},A247),0),IFERROR(FIND({"县"},A247),0))+1,FIND("街道",A247)-MAX(IFERROR(FIND({"省"},A247),0),IFERROR(FIND({"市"},A247),0),IFERROR(FIND({"区"},A247),0),IFERROR(FIND({"县"},A247),0))-1+2)</f>
        <v>南安市溪美街道</v>
      </c>
      <c r="O247" s="4" t="str" cm="1">
        <f t="array" ref="O247">_xlfn.LET(_xlpm.fullText,A247,_xlpm.streetPos,FIND("街道",_xlpm.fullText)+2,_xlpm.prefixText,LEFT(_xlpm.fullText,_xlpm.streetPos-1),_xlpm.adminPos,MAX(IFERROR(FIND({"省","市","区","县"},_xlpm.prefixText),0)),IF(_xlpm.adminPos&gt;0,MID(_xlpm.prefixText,_xlpm.adminPos+1,_xlpm.streetPos-_xlpm.adminPos-3+2),LEFT(_xlpm.prefixText,FIND("街道",_xlpm.prefixText)-1+2)))</f>
        <v>南安市溪美街道</v>
      </c>
      <c r="Q247" s="4" t="str" cm="1">
        <f t="array" ref="Q247">_xlfn.LET(_xlpm.fullText,A247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溪美街道</v>
      </c>
    </row>
    <row r="248" spans="1:17">
      <c r="A248" s="3" t="s">
        <v>27</v>
      </c>
      <c r="K248" s="4" t="str" cm="1">
        <f t="array" ref="K248">MID(A248,MAX(IFERROR(FIND({"省","市","区","县"},A248),0))+1,FIND("街道",A248)-MAX(IFERROR(FIND({"省","市","区","县"},A248),0))-1+2)</f>
        <v>东海街道</v>
      </c>
      <c r="M248" s="4" t="str" cm="1">
        <f t="array" ref="M248">MID(A248,MAX(IFERROR(FIND({"省"},A248),0),IFERROR(FIND({"市"},A248),0),IFERROR(FIND({"区"},A248),0),IFERROR(FIND({"县"},A248),0))+1,FIND("街道",A248)-MAX(IFERROR(FIND({"省"},A248),0),IFERROR(FIND({"市"},A248),0),IFERROR(FIND({"区"},A248),0),IFERROR(FIND({"县"},A248),0))-1+2)</f>
        <v>东海街道</v>
      </c>
      <c r="O248" s="4" t="str" cm="1">
        <f t="array" ref="O248">_xlfn.LET(_xlpm.fullText,A248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48" s="4" t="str" cm="1">
        <f t="array" ref="Q248">_xlfn.LET(_xlpm.fullText,A248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49" ht="28.8" spans="1:17">
      <c r="A249" s="3" t="s">
        <v>131</v>
      </c>
      <c r="K249" s="4" t="str" cm="1">
        <f t="array" ref="K249">MID(A249,MAX(IFERROR(FIND({"省","市","区","县"},A249),0))+1,FIND("街道",A249)-MAX(IFERROR(FIND({"省","市","区","县"},A249),0))-1+2)</f>
        <v>东胜区天骄街道</v>
      </c>
      <c r="M249" s="4" t="str" cm="1">
        <f t="array" ref="M249">MID(A249,MAX(IFERROR(FIND({"省"},A249),0),IFERROR(FIND({"市"},A249),0),IFERROR(FIND({"区"},A249),0),IFERROR(FIND({"县"},A249),0))+1,FIND("街道",A249)-MAX(IFERROR(FIND({"省"},A249),0),IFERROR(FIND({"市"},A249),0),IFERROR(FIND({"区"},A249),0),IFERROR(FIND({"县"},A249),0))-1+2)</f>
        <v>东胜区天骄街道</v>
      </c>
      <c r="O249" s="4" t="str" cm="1">
        <f t="array" ref="O249">_xlfn.LET(_xlpm.fullText,A249,_xlpm.streetPos,FIND("街道",_xlpm.fullText)+2,_xlpm.prefixText,LEFT(_xlpm.fullText,_xlpm.streetPos-1),_xlpm.adminPos,MAX(IFERROR(FIND({"省","市","区","县"},_xlpm.prefixText),0)),IF(_xlpm.adminPos&gt;0,MID(_xlpm.prefixText,_xlpm.adminPos+1,_xlpm.streetPos-_xlpm.adminPos-3+2),LEFT(_xlpm.prefixText,FIND("街道",_xlpm.prefixText)-1+2)))</f>
        <v>东胜区天骄街道</v>
      </c>
      <c r="Q249" s="4" t="str" cm="1">
        <f t="array" ref="Q249">_xlfn.LET(_xlpm.fullText,A249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东胜区天骄街道</v>
      </c>
    </row>
    <row r="250" ht="28.8" spans="1:17">
      <c r="A250" s="3" t="s">
        <v>132</v>
      </c>
      <c r="K250" s="4" t="str" cm="1">
        <f t="array" ref="K250">MID(A250,MAX(IFERROR(FIND({"省","市","区","县"},A250),0))+1,FIND("街道",A250)-MAX(IFERROR(FIND({"省","市","区","县"},A250),0))-1+2)</f>
        <v>东胜区天骄街道</v>
      </c>
      <c r="M250" s="4" t="str" cm="1">
        <f t="array" ref="M250">MID(A250,MAX(IFERROR(FIND({"省"},A250),0),IFERROR(FIND({"市"},A250),0),IFERROR(FIND({"区"},A250),0),IFERROR(FIND({"县"},A250),0))+1,FIND("街道",A250)-MAX(IFERROR(FIND({"省"},A250),0),IFERROR(FIND({"市"},A250),0),IFERROR(FIND({"区"},A250),0),IFERROR(FIND({"县"},A250),0))-1+2)</f>
        <v>东胜区天骄街道</v>
      </c>
      <c r="O250" s="4" t="str" cm="1">
        <f t="array" ref="O250">_xlfn.LET(_xlpm.fullText,A250,_xlpm.streetPos,FIND("街道",_xlpm.fullText)+2,_xlpm.prefixText,LEFT(_xlpm.fullText,_xlpm.streetPos-1),_xlpm.adminPos,MAX(IFERROR(FIND({"省","市","区","县"},_xlpm.prefixText),0)),IF(_xlpm.adminPos&gt;0,MID(_xlpm.prefixText,_xlpm.adminPos+1,_xlpm.streetPos-_xlpm.adminPos-3+2),LEFT(_xlpm.prefixText,FIND("街道",_xlpm.prefixText)-1+2)))</f>
        <v>东胜区天骄街道</v>
      </c>
      <c r="Q250" s="4" t="str" cm="1">
        <f t="array" ref="Q250">_xlfn.LET(_xlpm.fullText,A250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东胜区天骄街道</v>
      </c>
    </row>
    <row r="251" ht="43.2" spans="1:17">
      <c r="A251" s="3" t="s">
        <v>133</v>
      </c>
      <c r="K251" s="4" t="str" cm="1">
        <f t="array" ref="K251">MID(A251,MAX(IFERROR(FIND({"省","市","区","县"},A251),0))+1,FIND("街道",A251)-MAX(IFERROR(FIND({"省","市","区","县"},A251),0))-1+2)</f>
        <v>新城区成吉思汗大街街道</v>
      </c>
      <c r="M251" s="4" t="str" cm="1">
        <f t="array" ref="M251">MID(A251,MAX(IFERROR(FIND({"省"},A251),0),IFERROR(FIND({"市"},A251),0),IFERROR(FIND({"区"},A251),0),IFERROR(FIND({"县"},A251),0))+1,FIND("街道",A251)-MAX(IFERROR(FIND({"省"},A251),0),IFERROR(FIND({"市"},A251),0),IFERROR(FIND({"区"},A251),0),IFERROR(FIND({"县"},A251),0))-1+2)</f>
        <v>新城区成吉思汗大街街道</v>
      </c>
      <c r="O251" s="4" t="str" cm="1">
        <f t="array" ref="O251">_xlfn.LET(_xlpm.fullText,A251,_xlpm.streetPos,FIND("街道",_xlpm.fullText)+2,_xlpm.prefixText,LEFT(_xlpm.fullText,_xlpm.streetPos-1),_xlpm.adminPos,MAX(IFERROR(FIND({"省","市","区","县"},_xlpm.prefixText),0)),IF(_xlpm.adminPos&gt;0,MID(_xlpm.prefixText,_xlpm.adminPos+1,_xlpm.streetPos-_xlpm.adminPos-3+2),LEFT(_xlpm.prefixText,FIND("街道",_xlpm.prefixText)-1+2)))</f>
        <v>新城区成吉思汗大街街道</v>
      </c>
      <c r="Q251" s="4" t="str" cm="1">
        <f t="array" ref="Q251">_xlfn.LET(_xlpm.fullText,A251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新城区成吉思汗大街街道</v>
      </c>
    </row>
    <row r="252" spans="1:17">
      <c r="A252" s="3" t="s">
        <v>54</v>
      </c>
      <c r="K252" s="4" t="str" cm="1">
        <f t="array" ref="K252">MID(A252,MAX(IFERROR(FIND({"省","市","区","县"},A252),0))+1,FIND("街道",A252)-MAX(IFERROR(FIND({"省","市","区","县"},A252),0))-1+2)</f>
        <v>东海街道</v>
      </c>
      <c r="M252" s="4" t="str" cm="1">
        <f t="array" ref="M252">MID(A252,MAX(IFERROR(FIND({"省"},A252),0),IFERROR(FIND({"市"},A252),0),IFERROR(FIND({"区"},A252),0),IFERROR(FIND({"县"},A252),0))+1,FIND("街道",A252)-MAX(IFERROR(FIND({"省"},A252),0),IFERROR(FIND({"市"},A252),0),IFERROR(FIND({"区"},A252),0),IFERROR(FIND({"县"},A252),0))-1+2)</f>
        <v>东海街道</v>
      </c>
      <c r="O252" s="4" t="str" cm="1">
        <f t="array" ref="O252">_xlfn.LET(_xlpm.fullText,A252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52" s="4" t="str" cm="1">
        <f t="array" ref="Q252">_xlfn.LET(_xlpm.fullText,A252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53" spans="1:17">
      <c r="A253" s="3" t="s">
        <v>27</v>
      </c>
      <c r="K253" s="4" t="str" cm="1">
        <f t="array" ref="K253">MID(A253,MAX(IFERROR(FIND({"省","市","区","县"},A253),0))+1,FIND("街道",A253)-MAX(IFERROR(FIND({"省","市","区","县"},A253),0))-1+2)</f>
        <v>东海街道</v>
      </c>
      <c r="M253" s="4" t="str" cm="1">
        <f t="array" ref="M253">MID(A253,MAX(IFERROR(FIND({"省"},A253),0),IFERROR(FIND({"市"},A253),0),IFERROR(FIND({"区"},A253),0),IFERROR(FIND({"县"},A253),0))+1,FIND("街道",A253)-MAX(IFERROR(FIND({"省"},A253),0),IFERROR(FIND({"市"},A253),0),IFERROR(FIND({"区"},A253),0),IFERROR(FIND({"县"},A253),0))-1+2)</f>
        <v>东海街道</v>
      </c>
      <c r="O253" s="4" t="str" cm="1">
        <f t="array" ref="O253">_xlfn.LET(_xlpm.fullText,A253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53" s="4" t="str" cm="1">
        <f t="array" ref="Q253">_xlfn.LET(_xlpm.fullText,A253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54" spans="1:17">
      <c r="A254" s="3" t="s">
        <v>27</v>
      </c>
      <c r="K254" s="4" t="str" cm="1">
        <f t="array" ref="K254">MID(A254,MAX(IFERROR(FIND({"省","市","区","县"},A254),0))+1,FIND("街道",A254)-MAX(IFERROR(FIND({"省","市","区","县"},A254),0))-1+2)</f>
        <v>东海街道</v>
      </c>
      <c r="M254" s="4" t="str" cm="1">
        <f t="array" ref="M254">MID(A254,MAX(IFERROR(FIND({"省"},A254),0),IFERROR(FIND({"市"},A254),0),IFERROR(FIND({"区"},A254),0),IFERROR(FIND({"县"},A254),0))+1,FIND("街道",A254)-MAX(IFERROR(FIND({"省"},A254),0),IFERROR(FIND({"市"},A254),0),IFERROR(FIND({"区"},A254),0),IFERROR(FIND({"县"},A254),0))-1+2)</f>
        <v>东海街道</v>
      </c>
      <c r="O254" s="4" t="str" cm="1">
        <f t="array" ref="O254">_xlfn.LET(_xlpm.fullText,A254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54" s="4" t="str" cm="1">
        <f t="array" ref="Q254">_xlfn.LET(_xlpm.fullText,A254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55" spans="1:17">
      <c r="A255" s="3" t="s">
        <v>134</v>
      </c>
      <c r="K255" s="4" t="str" cm="1">
        <f t="array" ref="K255">MID(A255,MAX(IFERROR(FIND({"省","市","区","县"},A255),0))+1,FIND("街道",A255)-MAX(IFERROR(FIND({"省","市","区","县"},A255),0))-1+2)</f>
        <v>东海街道</v>
      </c>
      <c r="M255" s="4" t="str" cm="1">
        <f t="array" ref="M255">MID(A255,MAX(IFERROR(FIND({"省"},A255),0),IFERROR(FIND({"市"},A255),0),IFERROR(FIND({"区"},A255),0),IFERROR(FIND({"县"},A255),0))+1,FIND("街道",A255)-MAX(IFERROR(FIND({"省"},A255),0),IFERROR(FIND({"市"},A255),0),IFERROR(FIND({"区"},A255),0),IFERROR(FIND({"县"},A255),0))-1+2)</f>
        <v>东海街道</v>
      </c>
      <c r="O255" s="4" t="str" cm="1">
        <f t="array" ref="O255">_xlfn.LET(_xlpm.fullText,A255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55" s="4" t="str" cm="1">
        <f t="array" ref="Q255">_xlfn.LET(_xlpm.fullText,A255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56" spans="1:17">
      <c r="A256" s="3" t="s">
        <v>54</v>
      </c>
      <c r="K256" s="4" t="str" cm="1">
        <f t="array" ref="K256">MID(A256,MAX(IFERROR(FIND({"省","市","区","县"},A256),0))+1,FIND("街道",A256)-MAX(IFERROR(FIND({"省","市","区","县"},A256),0))-1+2)</f>
        <v>东海街道</v>
      </c>
      <c r="M256" s="4" t="str" cm="1">
        <f t="array" ref="M256">MID(A256,MAX(IFERROR(FIND({"省"},A256),0),IFERROR(FIND({"市"},A256),0),IFERROR(FIND({"区"},A256),0),IFERROR(FIND({"县"},A256),0))+1,FIND("街道",A256)-MAX(IFERROR(FIND({"省"},A256),0),IFERROR(FIND({"市"},A256),0),IFERROR(FIND({"区"},A256),0),IFERROR(FIND({"县"},A256),0))-1+2)</f>
        <v>东海街道</v>
      </c>
      <c r="O256" s="4" t="str" cm="1">
        <f t="array" ref="O256">_xlfn.LET(_xlpm.fullText,A256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56" s="4" t="str" cm="1">
        <f t="array" ref="Q256">_xlfn.LET(_xlpm.fullText,A256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57" spans="1:17">
      <c r="A257" s="3" t="s">
        <v>135</v>
      </c>
      <c r="K257" s="4" t="str" cm="1">
        <f t="array" ref="K257">MID(A257,MAX(IFERROR(FIND({"省","市","区","县"},A257),0))+1,FIND("街道",A257)-MAX(IFERROR(FIND({"省","市","区","县"},A257),0))-1+2)</f>
        <v>海沧街道</v>
      </c>
      <c r="M257" s="4" t="str" cm="1">
        <f t="array" ref="M257">MID(A257,MAX(IFERROR(FIND({"省"},A257),0),IFERROR(FIND({"市"},A257),0),IFERROR(FIND({"区"},A257),0),IFERROR(FIND({"县"},A257),0))+1,FIND("街道",A257)-MAX(IFERROR(FIND({"省"},A257),0),IFERROR(FIND({"市"},A257),0),IFERROR(FIND({"区"},A257),0),IFERROR(FIND({"县"},A257),0))-1+2)</f>
        <v>海沧街道</v>
      </c>
      <c r="O257" s="4" t="str" cm="1">
        <f t="array" ref="O257">_xlfn.LET(_xlpm.fullText,A257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257" s="4" t="str" cm="1">
        <f t="array" ref="Q257">_xlfn.LET(_xlpm.fullText,A257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258" spans="1:17">
      <c r="A258" s="3" t="s">
        <v>136</v>
      </c>
      <c r="K258" s="4" t="str" cm="1">
        <f t="array" ref="K258">MID(A258,MAX(IFERROR(FIND({"省","市","区","县"},A258),0))+1,FIND("街道",A258)-MAX(IFERROR(FIND({"省","市","区","县"},A258),0))-1+2)</f>
        <v>双阳街道</v>
      </c>
      <c r="M258" s="4" t="str" cm="1">
        <f t="array" ref="M258">MID(A258,MAX(IFERROR(FIND({"省"},A258),0),IFERROR(FIND({"市"},A258),0),IFERROR(FIND({"区"},A258),0),IFERROR(FIND({"县"},A258),0))+1,FIND("街道",A258)-MAX(IFERROR(FIND({"省"},A258),0),IFERROR(FIND({"市"},A258),0),IFERROR(FIND({"区"},A258),0),IFERROR(FIND({"县"},A258),0))-1+2)</f>
        <v>双阳街道</v>
      </c>
      <c r="O258" s="4" t="str" cm="1">
        <f t="array" ref="O258">_xlfn.LET(_xlpm.fullText,A258,_xlpm.streetPos,FIND("街道",_xlpm.fullText)+2,_xlpm.prefixText,LEFT(_xlpm.fullText,_xlpm.streetPos-1),_xlpm.adminPos,MAX(IFERROR(FIND({"省","市","区","县"},_xlpm.prefixText),0)),IF(_xlpm.adminPos&gt;0,MID(_xlpm.prefixText,_xlpm.adminPos+1,_xlpm.streetPos-_xlpm.adminPos-3+2),LEFT(_xlpm.prefixText,FIND("街道",_xlpm.prefixText)-1+2)))</f>
        <v>双阳街道</v>
      </c>
      <c r="Q258" s="4" t="str" cm="1">
        <f t="array" ref="Q258">_xlfn.LET(_xlpm.fullText,A258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双阳街道</v>
      </c>
    </row>
    <row r="259" spans="1:17">
      <c r="A259" s="3" t="s">
        <v>29</v>
      </c>
      <c r="K259" s="4" t="str" cm="1">
        <f t="array" ref="K259">MID(A259,MAX(IFERROR(FIND({"省","市","区","县"},A259),0))+1,FIND("街道",A259)-MAX(IFERROR(FIND({"省","市","区","县"},A259),0))-1+2)</f>
        <v>湖里街道</v>
      </c>
      <c r="M259" s="4" t="str" cm="1">
        <f t="array" ref="M259">MID(A259,MAX(IFERROR(FIND({"省"},A259),0),IFERROR(FIND({"市"},A259),0),IFERROR(FIND({"区"},A259),0),IFERROR(FIND({"县"},A259),0))+1,FIND("街道",A259)-MAX(IFERROR(FIND({"省"},A259),0),IFERROR(FIND({"市"},A259),0),IFERROR(FIND({"区"},A259),0),IFERROR(FIND({"县"},A259),0))-1+2)</f>
        <v>湖里街道</v>
      </c>
      <c r="O259" s="4" t="str" cm="1">
        <f t="array" ref="O259">_xlfn.LET(_xlpm.fullText,A259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59" s="4" t="str" cm="1">
        <f t="array" ref="Q259">_xlfn.LET(_xlpm.fullText,A259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60" spans="1:17">
      <c r="A260" s="3" t="s">
        <v>54</v>
      </c>
      <c r="K260" s="4" t="str" cm="1">
        <f t="array" ref="K260">MID(A260,MAX(IFERROR(FIND({"省","市","区","县"},A260),0))+1,FIND("街道",A260)-MAX(IFERROR(FIND({"省","市","区","县"},A260),0))-1+2)</f>
        <v>东海街道</v>
      </c>
      <c r="M260" s="4" t="str" cm="1">
        <f t="array" ref="M260">MID(A260,MAX(IFERROR(FIND({"省"},A260),0),IFERROR(FIND({"市"},A260),0),IFERROR(FIND({"区"},A260),0),IFERROR(FIND({"县"},A260),0))+1,FIND("街道",A260)-MAX(IFERROR(FIND({"省"},A260),0),IFERROR(FIND({"市"},A260),0),IFERROR(FIND({"区"},A260),0),IFERROR(FIND({"县"},A260),0))-1+2)</f>
        <v>东海街道</v>
      </c>
      <c r="O260" s="4" t="str" cm="1">
        <f t="array" ref="O260">_xlfn.LET(_xlpm.fullText,A260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60" s="4" t="str" cm="1">
        <f t="array" ref="Q260">_xlfn.LET(_xlpm.fullText,A260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61" spans="1:17">
      <c r="A261" s="3" t="s">
        <v>54</v>
      </c>
      <c r="K261" s="4" t="str" cm="1">
        <f t="array" ref="K261">MID(A261,MAX(IFERROR(FIND({"省","市","区","县"},A261),0))+1,FIND("街道",A261)-MAX(IFERROR(FIND({"省","市","区","县"},A261),0))-1+2)</f>
        <v>东海街道</v>
      </c>
      <c r="M261" s="4" t="str" cm="1">
        <f t="array" ref="M261">MID(A261,MAX(IFERROR(FIND({"省"},A261),0),IFERROR(FIND({"市"},A261),0),IFERROR(FIND({"区"},A261),0),IFERROR(FIND({"县"},A261),0))+1,FIND("街道",A261)-MAX(IFERROR(FIND({"省"},A261),0),IFERROR(FIND({"市"},A261),0),IFERROR(FIND({"区"},A261),0),IFERROR(FIND({"县"},A261),0))-1+2)</f>
        <v>东海街道</v>
      </c>
      <c r="O261" s="4" t="str" cm="1">
        <f t="array" ref="O261">_xlfn.LET(_xlpm.fullText,A261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61" s="4" t="str" cm="1">
        <f t="array" ref="Q261">_xlfn.LET(_xlpm.fullText,A261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62" spans="1:17">
      <c r="A262" s="3" t="s">
        <v>137</v>
      </c>
      <c r="K262" s="4" t="str" cm="1">
        <f t="array" ref="K262">MID(A262,MAX(IFERROR(FIND({"省","市","区","县"},A262),0))+1,FIND("街道",A262)-MAX(IFERROR(FIND({"省","市","区","县"},A262),0))-1+2)</f>
        <v>禾山街道</v>
      </c>
      <c r="M262" s="4" t="str" cm="1">
        <f t="array" ref="M262">MID(A262,MAX(IFERROR(FIND({"省"},A262),0),IFERROR(FIND({"市"},A262),0),IFERROR(FIND({"区"},A262),0),IFERROR(FIND({"县"},A262),0))+1,FIND("街道",A262)-MAX(IFERROR(FIND({"省"},A262),0),IFERROR(FIND({"市"},A262),0),IFERROR(FIND({"区"},A262),0),IFERROR(FIND({"县"},A262),0))-1+2)</f>
        <v>禾山街道</v>
      </c>
      <c r="O262" s="4" t="str" cm="1">
        <f t="array" ref="O262">_xlfn.LET(_xlpm.fullText,A262,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262" s="4" t="str" cm="1">
        <f t="array" ref="Q262">_xlfn.LET(_xlpm.fullText,A262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263" spans="1:17">
      <c r="A263" s="3" t="s">
        <v>138</v>
      </c>
      <c r="K263" s="4" t="str" cm="1">
        <f t="array" ref="K263">MID(A263,MAX(IFERROR(FIND({"省","市","区","县"},A263),0))+1,FIND("街道",A263)-MAX(IFERROR(FIND({"省","市","区","县"},A263),0))-1+2)</f>
        <v>城东街道</v>
      </c>
      <c r="M263" s="4" t="str" cm="1">
        <f t="array" ref="M263">MID(A263,MAX(IFERROR(FIND({"省"},A263),0),IFERROR(FIND({"市"},A263),0),IFERROR(FIND({"区"},A263),0),IFERROR(FIND({"县"},A263),0))+1,FIND("街道",A263)-MAX(IFERROR(FIND({"省"},A263),0),IFERROR(FIND({"市"},A263),0),IFERROR(FIND({"区"},A263),0),IFERROR(FIND({"县"},A263),0))-1+2)</f>
        <v>城东街道</v>
      </c>
      <c r="O263" s="4" t="str" cm="1">
        <f t="array" ref="O263">_xlfn.LET(_xlpm.fullText,A263,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263" s="4" t="str" cm="1">
        <f t="array" ref="Q263">_xlfn.LET(_xlpm.fullText,A263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264" spans="1:17">
      <c r="A264" s="3" t="s">
        <v>139</v>
      </c>
      <c r="K264" s="4" t="str" cm="1">
        <f t="array" ref="K264">MID(A264,MAX(IFERROR(FIND({"省","市","区","县"},A264),0))+1,FIND("街道",A264)-MAX(IFERROR(FIND({"省","市","区","县"},A264),0))-1+2)</f>
        <v>嘉莲街道</v>
      </c>
      <c r="M264" s="4" t="str" cm="1">
        <f t="array" ref="M264">MID(A264,MAX(IFERROR(FIND({"省"},A264),0),IFERROR(FIND({"市"},A264),0),IFERROR(FIND({"区"},A264),0),IFERROR(FIND({"县"},A264),0))+1,FIND("街道",A264)-MAX(IFERROR(FIND({"省"},A264),0),IFERROR(FIND({"市"},A264),0),IFERROR(FIND({"区"},A264),0),IFERROR(FIND({"县"},A264),0))-1+2)</f>
        <v>嘉莲街道</v>
      </c>
      <c r="O264" s="4" t="str" cm="1">
        <f t="array" ref="O264">_xlfn.LET(_xlpm.fullText,A264,_xlpm.streetPos,FIND("街道",_xlpm.fullText)+2,_xlpm.prefixText,LEFT(_xlpm.fullText,_xlpm.streetPos-1),_xlpm.adminPos,MAX(IFERROR(FIND({"省","市","区","县"},_xlpm.prefixText),0)),IF(_xlpm.adminPos&gt;0,MID(_xlpm.prefixText,_xlpm.adminPos+1,_xlpm.streetPos-_xlpm.adminPos-3+2),LEFT(_xlpm.prefixText,FIND("街道",_xlpm.prefixText)-1+2)))</f>
        <v>嘉莲街道</v>
      </c>
      <c r="Q264" s="4" t="str" cm="1">
        <f t="array" ref="Q264">_xlfn.LET(_xlpm.fullText,A264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嘉莲街道</v>
      </c>
    </row>
    <row r="265" spans="1:17">
      <c r="A265" s="3" t="s">
        <v>54</v>
      </c>
      <c r="K265" s="4" t="str" cm="1">
        <f t="array" ref="K265">MID(A265,MAX(IFERROR(FIND({"省","市","区","县"},A265),0))+1,FIND("街道",A265)-MAX(IFERROR(FIND({"省","市","区","县"},A265),0))-1+2)</f>
        <v>东海街道</v>
      </c>
      <c r="M265" s="4" t="str" cm="1">
        <f t="array" ref="M265">MID(A265,MAX(IFERROR(FIND({"省"},A265),0),IFERROR(FIND({"市"},A265),0),IFERROR(FIND({"区"},A265),0),IFERROR(FIND({"县"},A265),0))+1,FIND("街道",A265)-MAX(IFERROR(FIND({"省"},A265),0),IFERROR(FIND({"市"},A265),0),IFERROR(FIND({"区"},A265),0),IFERROR(FIND({"县"},A265),0))-1+2)</f>
        <v>东海街道</v>
      </c>
      <c r="O265" s="4" t="str" cm="1">
        <f t="array" ref="O265">_xlfn.LET(_xlpm.fullText,A265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65" s="4" t="str" cm="1">
        <f t="array" ref="Q265">_xlfn.LET(_xlpm.fullText,A265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66" spans="1:17">
      <c r="A266" s="3" t="s">
        <v>54</v>
      </c>
      <c r="K266" s="4" t="str" cm="1">
        <f t="array" ref="K266">MID(A266,MAX(IFERROR(FIND({"省","市","区","县"},A266),0))+1,FIND("街道",A266)-MAX(IFERROR(FIND({"省","市","区","县"},A266),0))-1+2)</f>
        <v>东海街道</v>
      </c>
      <c r="M266" s="4" t="str" cm="1">
        <f t="array" ref="M266">MID(A266,MAX(IFERROR(FIND({"省"},A266),0),IFERROR(FIND({"市"},A266),0),IFERROR(FIND({"区"},A266),0),IFERROR(FIND({"县"},A266),0))+1,FIND("街道",A266)-MAX(IFERROR(FIND({"省"},A266),0),IFERROR(FIND({"市"},A266),0),IFERROR(FIND({"区"},A266),0),IFERROR(FIND({"县"},A266),0))-1+2)</f>
        <v>东海街道</v>
      </c>
      <c r="O266" s="4" t="str" cm="1">
        <f t="array" ref="O266">_xlfn.LET(_xlpm.fullText,A266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66" s="4" t="str" cm="1">
        <f t="array" ref="Q266">_xlfn.LET(_xlpm.fullText,A266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67" spans="1:17">
      <c r="A267" s="3" t="s">
        <v>54</v>
      </c>
      <c r="K267" s="4" t="str" cm="1">
        <f t="array" ref="K267">MID(A267,MAX(IFERROR(FIND({"省","市","区","县"},A267),0))+1,FIND("街道",A267)-MAX(IFERROR(FIND({"省","市","区","县"},A267),0))-1+2)</f>
        <v>东海街道</v>
      </c>
      <c r="M267" s="4" t="str" cm="1">
        <f t="array" ref="M267">MID(A267,MAX(IFERROR(FIND({"省"},A267),0),IFERROR(FIND({"市"},A267),0),IFERROR(FIND({"区"},A267),0),IFERROR(FIND({"县"},A267),0))+1,FIND("街道",A267)-MAX(IFERROR(FIND({"省"},A267),0),IFERROR(FIND({"市"},A267),0),IFERROR(FIND({"区"},A267),0),IFERROR(FIND({"县"},A267),0))-1+2)</f>
        <v>东海街道</v>
      </c>
      <c r="O267" s="4" t="str" cm="1">
        <f t="array" ref="O267">_xlfn.LET(_xlpm.fullText,A267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67" s="4" t="str" cm="1">
        <f t="array" ref="Q267">_xlfn.LET(_xlpm.fullText,A267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68" spans="1:17">
      <c r="A268" s="3" t="s">
        <v>140</v>
      </c>
      <c r="K268" s="4" t="str" cm="1">
        <f t="array" ref="K268">MID(A268,MAX(IFERROR(FIND({"省","市","区","县"},A268),0))+1,FIND("街道",A268)-MAX(IFERROR(FIND({"省","市","区","县"},A268),0))-1+2)</f>
        <v>殿前街道</v>
      </c>
      <c r="M268" s="4" t="str" cm="1">
        <f t="array" ref="M268">MID(A268,MAX(IFERROR(FIND({"省"},A268),0),IFERROR(FIND({"市"},A268),0),IFERROR(FIND({"区"},A268),0),IFERROR(FIND({"县"},A268),0))+1,FIND("街道",A268)-MAX(IFERROR(FIND({"省"},A268),0),IFERROR(FIND({"市"},A268),0),IFERROR(FIND({"区"},A268),0),IFERROR(FIND({"县"},A268),0))-1+2)</f>
        <v>殿前街道</v>
      </c>
      <c r="O268" s="4" t="str" cm="1">
        <f t="array" ref="O268">_xlfn.LET(_xlpm.fullText,A268,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268" s="4" t="str" cm="1">
        <f t="array" ref="Q268">_xlfn.LET(_xlpm.fullText,A268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269" spans="1:17">
      <c r="A269" s="3" t="s">
        <v>141</v>
      </c>
      <c r="K269" s="4" t="str" cm="1">
        <f t="array" ref="K269">MID(A269,MAX(IFERROR(FIND({"省","市","区","县"},A269),0))+1,FIND("街道",A269)-MAX(IFERROR(FIND({"省","市","区","县"},A269),0))-1+2)</f>
        <v>虬江街道</v>
      </c>
      <c r="M269" s="4" t="str" cm="1">
        <f t="array" ref="M269">MID(A269,MAX(IFERROR(FIND({"省"},A269),0),IFERROR(FIND({"市"},A269),0),IFERROR(FIND({"区"},A269),0),IFERROR(FIND({"县"},A269),0))+1,FIND("街道",A269)-MAX(IFERROR(FIND({"省"},A269),0),IFERROR(FIND({"市"},A269),0),IFERROR(FIND({"区"},A269),0),IFERROR(FIND({"县"},A269),0))-1+2)</f>
        <v>虬江街道</v>
      </c>
      <c r="O269" s="4" t="str" cm="1">
        <f t="array" ref="O269">_xlfn.LET(_xlpm.fullText,A269,_xlpm.streetPos,FIND("街道",_xlpm.fullText)+2,_xlpm.prefixText,LEFT(_xlpm.fullText,_xlpm.streetPos-1),_xlpm.adminPos,MAX(IFERROR(FIND({"省","市","区","县"},_xlpm.prefixText),0)),IF(_xlpm.adminPos&gt;0,MID(_xlpm.prefixText,_xlpm.adminPos+1,_xlpm.streetPos-_xlpm.adminPos-3+2),LEFT(_xlpm.prefixText,FIND("街道",_xlpm.prefixText)-1+2)))</f>
        <v>虬江街道</v>
      </c>
      <c r="Q269" s="4" t="str" cm="1">
        <f t="array" ref="Q269">_xlfn.LET(_xlpm.fullText,A269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虬江街道</v>
      </c>
    </row>
    <row r="270" spans="1:17">
      <c r="A270" s="3" t="s">
        <v>142</v>
      </c>
      <c r="K270" s="4" t="str" cm="1">
        <f t="array" ref="K270">MID(A270,MAX(IFERROR(FIND({"省","市","区","县"},A270),0))+1,FIND("街道",A270)-MAX(IFERROR(FIND({"省","市","区","县"},A270),0))-1+2)</f>
        <v>东海街道</v>
      </c>
      <c r="M270" s="4" t="str" cm="1">
        <f t="array" ref="M270">MID(A270,MAX(IFERROR(FIND({"省"},A270),0),IFERROR(FIND({"市"},A270),0),IFERROR(FIND({"区"},A270),0),IFERROR(FIND({"县"},A270),0))+1,FIND("街道",A270)-MAX(IFERROR(FIND({"省"},A270),0),IFERROR(FIND({"市"},A270),0),IFERROR(FIND({"区"},A270),0),IFERROR(FIND({"县"},A270),0))-1+2)</f>
        <v>东海街道</v>
      </c>
      <c r="O270" s="4" t="str" cm="1">
        <f t="array" ref="O270">_xlfn.LET(_xlpm.fullText,A270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70" s="4" t="str" cm="1">
        <f t="array" ref="Q270">_xlfn.LET(_xlpm.fullText,A270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71" spans="1:17">
      <c r="A271" s="3" t="s">
        <v>142</v>
      </c>
      <c r="K271" s="4" t="str" cm="1">
        <f t="array" ref="K271">MID(A271,MAX(IFERROR(FIND({"省","市","区","县"},A271),0))+1,FIND("街道",A271)-MAX(IFERROR(FIND({"省","市","区","县"},A271),0))-1+2)</f>
        <v>东海街道</v>
      </c>
      <c r="M271" s="4" t="str" cm="1">
        <f t="array" ref="M271">MID(A271,MAX(IFERROR(FIND({"省"},A271),0),IFERROR(FIND({"市"},A271),0),IFERROR(FIND({"区"},A271),0),IFERROR(FIND({"县"},A271),0))+1,FIND("街道",A271)-MAX(IFERROR(FIND({"省"},A271),0),IFERROR(FIND({"市"},A271),0),IFERROR(FIND({"区"},A271),0),IFERROR(FIND({"县"},A271),0))-1+2)</f>
        <v>东海街道</v>
      </c>
      <c r="O271" s="4" t="str" cm="1">
        <f t="array" ref="O271">_xlfn.LET(_xlpm.fullText,A271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71" s="4" t="str" cm="1">
        <f t="array" ref="Q271">_xlfn.LET(_xlpm.fullText,A271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72" spans="1:17">
      <c r="A272" s="3" t="s">
        <v>142</v>
      </c>
      <c r="K272" s="4" t="str" cm="1">
        <f t="array" ref="K272">MID(A272,MAX(IFERROR(FIND({"省","市","区","县"},A272),0))+1,FIND("街道",A272)-MAX(IFERROR(FIND({"省","市","区","县"},A272),0))-1+2)</f>
        <v>东海街道</v>
      </c>
      <c r="M272" s="4" t="str" cm="1">
        <f t="array" ref="M272">MID(A272,MAX(IFERROR(FIND({"省"},A272),0),IFERROR(FIND({"市"},A272),0),IFERROR(FIND({"区"},A272),0),IFERROR(FIND({"县"},A272),0))+1,FIND("街道",A272)-MAX(IFERROR(FIND({"省"},A272),0),IFERROR(FIND({"市"},A272),0),IFERROR(FIND({"区"},A272),0),IFERROR(FIND({"县"},A272),0))-1+2)</f>
        <v>东海街道</v>
      </c>
      <c r="O272" s="4" t="str" cm="1">
        <f t="array" ref="O272">_xlfn.LET(_xlpm.fullText,A272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72" s="4" t="str" cm="1">
        <f t="array" ref="Q272">_xlfn.LET(_xlpm.fullText,A272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73" spans="1:17">
      <c r="A273" s="3" t="s">
        <v>142</v>
      </c>
      <c r="K273" s="4" t="str" cm="1">
        <f t="array" ref="K273">MID(A273,MAX(IFERROR(FIND({"省","市","区","县"},A273),0))+1,FIND("街道",A273)-MAX(IFERROR(FIND({"省","市","区","县"},A273),0))-1+2)</f>
        <v>东海街道</v>
      </c>
      <c r="M273" s="4" t="str" cm="1">
        <f t="array" ref="M273">MID(A273,MAX(IFERROR(FIND({"省"},A273),0),IFERROR(FIND({"市"},A273),0),IFERROR(FIND({"区"},A273),0),IFERROR(FIND({"县"},A273),0))+1,FIND("街道",A273)-MAX(IFERROR(FIND({"省"},A273),0),IFERROR(FIND({"市"},A273),0),IFERROR(FIND({"区"},A273),0),IFERROR(FIND({"县"},A273),0))-1+2)</f>
        <v>东海街道</v>
      </c>
      <c r="O273" s="4" t="str" cm="1">
        <f t="array" ref="O273">_xlfn.LET(_xlpm.fullText,A273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73" s="4" t="str" cm="1">
        <f t="array" ref="Q273">_xlfn.LET(_xlpm.fullText,A273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74" spans="1:17">
      <c r="A274" s="3" t="s">
        <v>143</v>
      </c>
      <c r="K274" s="4" t="str" cm="1">
        <f t="array" ref="K274">MID(A274,MAX(IFERROR(FIND({"省","市","区","县"},A274),0))+1,FIND("街道",A274)-MAX(IFERROR(FIND({"省","市","区","县"},A274),0))-1+2)</f>
        <v>北峰街道</v>
      </c>
      <c r="M274" s="4" t="str" cm="1">
        <f t="array" ref="M274">MID(A274,MAX(IFERROR(FIND({"省"},A274),0),IFERROR(FIND({"市"},A274),0),IFERROR(FIND({"区"},A274),0),IFERROR(FIND({"县"},A274),0))+1,FIND("街道",A274)-MAX(IFERROR(FIND({"省"},A274),0),IFERROR(FIND({"市"},A274),0),IFERROR(FIND({"区"},A274),0),IFERROR(FIND({"县"},A274),0))-1+2)</f>
        <v>北峰街道</v>
      </c>
      <c r="O274" s="4" t="str" cm="1">
        <f t="array" ref="O274">_xlfn.LET(_xlpm.fullText,A274,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274" s="4" t="str" cm="1">
        <f t="array" ref="Q274">_xlfn.LET(_xlpm.fullText,A274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275" spans="1:17">
      <c r="A275" s="3" t="s">
        <v>54</v>
      </c>
      <c r="K275" s="4" t="str" cm="1">
        <f t="array" ref="K275">MID(A275,MAX(IFERROR(FIND({"省","市","区","县"},A275),0))+1,FIND("街道",A275)-MAX(IFERROR(FIND({"省","市","区","县"},A275),0))-1+2)</f>
        <v>东海街道</v>
      </c>
      <c r="M275" s="4" t="str" cm="1">
        <f t="array" ref="M275">MID(A275,MAX(IFERROR(FIND({"省"},A275),0),IFERROR(FIND({"市"},A275),0),IFERROR(FIND({"区"},A275),0),IFERROR(FIND({"县"},A275),0))+1,FIND("街道",A275)-MAX(IFERROR(FIND({"省"},A275),0),IFERROR(FIND({"市"},A275),0),IFERROR(FIND({"区"},A275),0),IFERROR(FIND({"县"},A275),0))-1+2)</f>
        <v>东海街道</v>
      </c>
      <c r="O275" s="4" t="str" cm="1">
        <f t="array" ref="O275">_xlfn.LET(_xlpm.fullText,A275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75" s="4" t="str" cm="1">
        <f t="array" ref="Q275">_xlfn.LET(_xlpm.fullText,A275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76" spans="1:17">
      <c r="A276" s="3" t="s">
        <v>54</v>
      </c>
      <c r="K276" s="4" t="str" cm="1">
        <f t="array" ref="K276">MID(A276,MAX(IFERROR(FIND({"省","市","区","县"},A276),0))+1,FIND("街道",A276)-MAX(IFERROR(FIND({"省","市","区","县"},A276),0))-1+2)</f>
        <v>东海街道</v>
      </c>
      <c r="M276" s="4" t="str" cm="1">
        <f t="array" ref="M276">MID(A276,MAX(IFERROR(FIND({"省"},A276),0),IFERROR(FIND({"市"},A276),0),IFERROR(FIND({"区"},A276),0),IFERROR(FIND({"县"},A276),0))+1,FIND("街道",A276)-MAX(IFERROR(FIND({"省"},A276),0),IFERROR(FIND({"市"},A276),0),IFERROR(FIND({"区"},A276),0),IFERROR(FIND({"县"},A276),0))-1+2)</f>
        <v>东海街道</v>
      </c>
      <c r="O276" s="4" t="str" cm="1">
        <f t="array" ref="O276">_xlfn.LET(_xlpm.fullText,A276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76" s="4" t="str" cm="1">
        <f t="array" ref="Q276">_xlfn.LET(_xlpm.fullText,A276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77" spans="1:17">
      <c r="A277" s="3" t="s">
        <v>113</v>
      </c>
      <c r="K277" s="4" t="str" cm="1">
        <f t="array" ref="K277">MID(A277,MAX(IFERROR(FIND({"省","市","区","县"},A277),0))+1,FIND("街道",A277)-MAX(IFERROR(FIND({"省","市","区","县"},A277),0))-1+2)</f>
        <v>湖滨街道</v>
      </c>
      <c r="M277" s="4" t="str" cm="1">
        <f t="array" ref="M277">MID(A277,MAX(IFERROR(FIND({"省"},A277),0),IFERROR(FIND({"市"},A277),0),IFERROR(FIND({"区"},A277),0),IFERROR(FIND({"县"},A277),0))+1,FIND("街道",A277)-MAX(IFERROR(FIND({"省"},A277),0),IFERROR(FIND({"市"},A277),0),IFERROR(FIND({"区"},A277),0),IFERROR(FIND({"县"},A277),0))-1+2)</f>
        <v>湖滨街道</v>
      </c>
      <c r="O277" s="4" t="str" cm="1">
        <f t="array" ref="O277">_xlfn.LET(_xlpm.fullText,A277,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277" s="4" t="str" cm="1">
        <f t="array" ref="Q277">_xlfn.LET(_xlpm.fullText,A277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278" spans="1:17">
      <c r="A278" s="3" t="s">
        <v>144</v>
      </c>
      <c r="K278" s="4" t="str" cm="1">
        <f t="array" ref="K278">MID(A278,MAX(IFERROR(FIND({"省","市","区","县"},A278),0))+1,FIND("街道",A278)-MAX(IFERROR(FIND({"省","市","区","县"},A278),0))-1+2)</f>
        <v>黄山街道</v>
      </c>
      <c r="M278" s="4" t="str" cm="1">
        <f t="array" ref="M278">MID(A278,MAX(IFERROR(FIND({"省"},A278),0),IFERROR(FIND({"市"},A278),0),IFERROR(FIND({"区"},A278),0),IFERROR(FIND({"县"},A278),0))+1,FIND("街道",A278)-MAX(IFERROR(FIND({"省"},A278),0),IFERROR(FIND({"市"},A278),0),IFERROR(FIND({"区"},A278),0),IFERROR(FIND({"县"},A278),0))-1+2)</f>
        <v>黄山街道</v>
      </c>
      <c r="O278" s="4" t="str" cm="1">
        <f t="array" ref="O278">_xlfn.LET(_xlpm.fullText,A278,_xlpm.streetPos,FIND("街道",_xlpm.fullText)+2,_xlpm.prefixText,LEFT(_xlpm.fullText,_xlpm.streetPos-1),_xlpm.adminPos,MAX(IFERROR(FIND({"省","市","区","县"},_xlpm.prefixText),0)),IF(_xlpm.adminPos&gt;0,MID(_xlpm.prefixText,_xlpm.adminPos+1,_xlpm.streetPos-_xlpm.adminPos-3+2),LEFT(_xlpm.prefixText,FIND("街道",_xlpm.prefixText)-1+2)))</f>
        <v>黄山街道</v>
      </c>
      <c r="Q278" s="4" t="str" cm="1">
        <f t="array" ref="Q278">_xlfn.LET(_xlpm.fullText,A278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黄山街道</v>
      </c>
    </row>
    <row r="279" spans="1:17">
      <c r="A279" s="3" t="s">
        <v>113</v>
      </c>
      <c r="K279" s="4" t="str" cm="1">
        <f t="array" ref="K279">MID(A279,MAX(IFERROR(FIND({"省","市","区","县"},A279),0))+1,FIND("街道",A279)-MAX(IFERROR(FIND({"省","市","区","县"},A279),0))-1+2)</f>
        <v>湖滨街道</v>
      </c>
      <c r="M279" s="4" t="str" cm="1">
        <f t="array" ref="M279">MID(A279,MAX(IFERROR(FIND({"省"},A279),0),IFERROR(FIND({"市"},A279),0),IFERROR(FIND({"区"},A279),0),IFERROR(FIND({"县"},A279),0))+1,FIND("街道",A279)-MAX(IFERROR(FIND({"省"},A279),0),IFERROR(FIND({"市"},A279),0),IFERROR(FIND({"区"},A279),0),IFERROR(FIND({"县"},A279),0))-1+2)</f>
        <v>湖滨街道</v>
      </c>
      <c r="O279" s="4" t="str" cm="1">
        <f t="array" ref="O279">_xlfn.LET(_xlpm.fullText,A279,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279" s="4" t="str" cm="1">
        <f t="array" ref="Q279">_xlfn.LET(_xlpm.fullText,A279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280" spans="1:17">
      <c r="A280" s="3" t="s">
        <v>145</v>
      </c>
      <c r="K280" s="4" t="str" cm="1">
        <f t="array" ref="K280">MID(A280,MAX(IFERROR(FIND({"省","市","区","县"},A280),0))+1,FIND("街道",A280)-MAX(IFERROR(FIND({"省","市","区","县"},A280),0))-1+2)</f>
        <v>东海街道</v>
      </c>
      <c r="M280" s="4" t="str" cm="1">
        <f t="array" ref="M280">MID(A280,MAX(IFERROR(FIND({"省"},A280),0),IFERROR(FIND({"市"},A280),0),IFERROR(FIND({"区"},A280),0),IFERROR(FIND({"县"},A280),0))+1,FIND("街道",A280)-MAX(IFERROR(FIND({"省"},A280),0),IFERROR(FIND({"市"},A280),0),IFERROR(FIND({"区"},A280),0),IFERROR(FIND({"县"},A280),0))-1+2)</f>
        <v>东海街道</v>
      </c>
      <c r="O280" s="4" t="str" cm="1">
        <f t="array" ref="O280">_xlfn.LET(_xlpm.fullText,A280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80" s="4" t="str" cm="1">
        <f t="array" ref="Q280">_xlfn.LET(_xlpm.fullText,A280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81" spans="1:17">
      <c r="A281" s="3" t="s">
        <v>146</v>
      </c>
      <c r="K281" s="4" t="str" cm="1">
        <f t="array" ref="K281">MID(A281,MAX(IFERROR(FIND({"省","市","区","县"},A281),0))+1,FIND("街道",A281)-MAX(IFERROR(FIND({"省","市","区","县"},A281),0))-1+2)</f>
        <v>新虹街道</v>
      </c>
      <c r="M281" s="4" t="str" cm="1">
        <f t="array" ref="M281">MID(A281,MAX(IFERROR(FIND({"省"},A281),0),IFERROR(FIND({"市"},A281),0),IFERROR(FIND({"区"},A281),0),IFERROR(FIND({"县"},A281),0))+1,FIND("街道",A281)-MAX(IFERROR(FIND({"省"},A281),0),IFERROR(FIND({"市"},A281),0),IFERROR(FIND({"区"},A281),0),IFERROR(FIND({"县"},A281),0))-1+2)</f>
        <v>新虹街道</v>
      </c>
      <c r="O281" s="4" t="str" cm="1">
        <f t="array" ref="O281">_xlfn.LET(_xlpm.fullText,A281,_xlpm.streetPos,FIND("街道",_xlpm.fullText)+2,_xlpm.prefixText,LEFT(_xlpm.fullText,_xlpm.streetPos-1),_xlpm.adminPos,MAX(IFERROR(FIND({"省","市","区","县"},_xlpm.prefixText),0)),IF(_xlpm.adminPos&gt;0,MID(_xlpm.prefixText,_xlpm.adminPos+1,_xlpm.streetPos-_xlpm.adminPos-3+2),LEFT(_xlpm.prefixText,FIND("街道",_xlpm.prefixText)-1+2)))</f>
        <v>新虹街道</v>
      </c>
      <c r="Q281" s="4" t="str" cm="1">
        <f t="array" ref="Q281">_xlfn.LET(_xlpm.fullText,A281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新虹街道</v>
      </c>
    </row>
    <row r="282" spans="1:17">
      <c r="A282" s="3" t="s">
        <v>147</v>
      </c>
      <c r="K282" s="4" t="str" cm="1">
        <f t="array" ref="K282">MID(A282,MAX(IFERROR(FIND({"省","市","区","县"},A282),0))+1,FIND("街道",A282)-MAX(IFERROR(FIND({"省","市","区","县"},A282),0))-1+2)</f>
        <v>湖滨街道</v>
      </c>
      <c r="M282" s="4" t="str" cm="1">
        <f t="array" ref="M282">MID(A282,MAX(IFERROR(FIND({"省"},A282),0),IFERROR(FIND({"市"},A282),0),IFERROR(FIND({"区"},A282),0),IFERROR(FIND({"县"},A282),0))+1,FIND("街道",A282)-MAX(IFERROR(FIND({"省"},A282),0),IFERROR(FIND({"市"},A282),0),IFERROR(FIND({"区"},A282),0),IFERROR(FIND({"县"},A282),0))-1+2)</f>
        <v>湖滨街道</v>
      </c>
      <c r="O282" s="4" t="str" cm="1">
        <f t="array" ref="O282">_xlfn.LET(_xlpm.fullText,A282,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282" s="4" t="str" cm="1">
        <f t="array" ref="Q282">_xlfn.LET(_xlpm.fullText,A282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283" ht="28.8" spans="1:17">
      <c r="A283" s="3" t="s">
        <v>148</v>
      </c>
      <c r="K283" s="4" t="str" cm="1">
        <f t="array" ref="K283">MID(A283,MAX(IFERROR(FIND({"省","市","区","县"},A283),0))+1,FIND("街道",A283)-MAX(IFERROR(FIND({"省","市","区","县"},A283),0))-1+2)</f>
        <v>和平里街道</v>
      </c>
      <c r="M283" s="4" t="str" cm="1">
        <f t="array" ref="M283">MID(A283,MAX(IFERROR(FIND({"省"},A283),0),IFERROR(FIND({"市"},A283),0),IFERROR(FIND({"区"},A283),0),IFERROR(FIND({"县"},A283),0))+1,FIND("街道",A283)-MAX(IFERROR(FIND({"省"},A283),0),IFERROR(FIND({"市"},A283),0),IFERROR(FIND({"区"},A283),0),IFERROR(FIND({"县"},A283),0))-1+2)</f>
        <v>和平里街道</v>
      </c>
      <c r="O283" s="4" t="str" cm="1">
        <f t="array" ref="O283">_xlfn.LET(_xlpm.fullText,A283,_xlpm.streetPos,FIND("街道",_xlpm.fullText)+2,_xlpm.prefixText,LEFT(_xlpm.fullText,_xlpm.streetPos-1),_xlpm.adminPos,MAX(IFERROR(FIND({"省","市","区","县"},_xlpm.prefixText),0)),IF(_xlpm.adminPos&gt;0,MID(_xlpm.prefixText,_xlpm.adminPos+1,_xlpm.streetPos-_xlpm.adminPos-3+2),LEFT(_xlpm.prefixText,FIND("街道",_xlpm.prefixText)-1+2)))</f>
        <v>和平里街道</v>
      </c>
      <c r="Q283" s="4" t="str" cm="1">
        <f t="array" ref="Q283">_xlfn.LET(_xlpm.fullText,A283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和平里街道</v>
      </c>
    </row>
    <row r="284" ht="28.8" spans="1:17">
      <c r="A284" s="3" t="s">
        <v>148</v>
      </c>
      <c r="K284" s="4" t="str" cm="1">
        <f t="array" ref="K284">MID(A284,MAX(IFERROR(FIND({"省","市","区","县"},A284),0))+1,FIND("街道",A284)-MAX(IFERROR(FIND({"省","市","区","县"},A284),0))-1+2)</f>
        <v>和平里街道</v>
      </c>
      <c r="M284" s="4" t="str" cm="1">
        <f t="array" ref="M284">MID(A284,MAX(IFERROR(FIND({"省"},A284),0),IFERROR(FIND({"市"},A284),0),IFERROR(FIND({"区"},A284),0),IFERROR(FIND({"县"},A284),0))+1,FIND("街道",A284)-MAX(IFERROR(FIND({"省"},A284),0),IFERROR(FIND({"市"},A284),0),IFERROR(FIND({"区"},A284),0),IFERROR(FIND({"县"},A284),0))-1+2)</f>
        <v>和平里街道</v>
      </c>
      <c r="O284" s="4" t="str" cm="1">
        <f t="array" ref="O284">_xlfn.LET(_xlpm.fullText,A284,_xlpm.streetPos,FIND("街道",_xlpm.fullText)+2,_xlpm.prefixText,LEFT(_xlpm.fullText,_xlpm.streetPos-1),_xlpm.adminPos,MAX(IFERROR(FIND({"省","市","区","县"},_xlpm.prefixText),0)),IF(_xlpm.adminPos&gt;0,MID(_xlpm.prefixText,_xlpm.adminPos+1,_xlpm.streetPos-_xlpm.adminPos-3+2),LEFT(_xlpm.prefixText,FIND("街道",_xlpm.prefixText)-1+2)))</f>
        <v>和平里街道</v>
      </c>
      <c r="Q284" s="4" t="str" cm="1">
        <f t="array" ref="Q284">_xlfn.LET(_xlpm.fullText,A284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和平里街道</v>
      </c>
    </row>
    <row r="285" spans="1:17">
      <c r="A285" s="3" t="s">
        <v>149</v>
      </c>
      <c r="K285" s="4" t="str" cm="1">
        <f t="array" ref="K285">MID(A285,MAX(IFERROR(FIND({"省","市","区","县"},A285),0))+1,FIND("街道",A285)-MAX(IFERROR(FIND({"省","市","区","县"},A285),0))-1+2)</f>
        <v>虬江街道</v>
      </c>
      <c r="M285" s="4" t="str" cm="1">
        <f t="array" ref="M285">MID(A285,MAX(IFERROR(FIND({"省"},A285),0),IFERROR(FIND({"市"},A285),0),IFERROR(FIND({"区"},A285),0),IFERROR(FIND({"县"},A285),0))+1,FIND("街道",A285)-MAX(IFERROR(FIND({"省"},A285),0),IFERROR(FIND({"市"},A285),0),IFERROR(FIND({"区"},A285),0),IFERROR(FIND({"县"},A285),0))-1+2)</f>
        <v>虬江街道</v>
      </c>
      <c r="O285" s="4" t="str" cm="1">
        <f t="array" ref="O285">_xlfn.LET(_xlpm.fullText,A285,_xlpm.streetPos,FIND("街道",_xlpm.fullText)+2,_xlpm.prefixText,LEFT(_xlpm.fullText,_xlpm.streetPos-1),_xlpm.adminPos,MAX(IFERROR(FIND({"省","市","区","县"},_xlpm.prefixText),0)),IF(_xlpm.adminPos&gt;0,MID(_xlpm.prefixText,_xlpm.adminPos+1,_xlpm.streetPos-_xlpm.adminPos-3+2),LEFT(_xlpm.prefixText,FIND("街道",_xlpm.prefixText)-1+2)))</f>
        <v>虬江街道</v>
      </c>
      <c r="Q285" s="4" t="str" cm="1">
        <f t="array" ref="Q285">_xlfn.LET(_xlpm.fullText,A285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虬江街道</v>
      </c>
    </row>
    <row r="286" spans="1:17">
      <c r="A286" s="3" t="s">
        <v>90</v>
      </c>
      <c r="K286" s="4" t="str" cm="1">
        <f t="array" ref="K286">MID(A286,MAX(IFERROR(FIND({"省","市","区","县"},A286),0))+1,FIND("街道",A286)-MAX(IFERROR(FIND({"省","市","区","县"},A286),0))-1+2)</f>
        <v>湖里街道</v>
      </c>
      <c r="M286" s="4" t="str" cm="1">
        <f t="array" ref="M286">MID(A286,MAX(IFERROR(FIND({"省"},A286),0),IFERROR(FIND({"市"},A286),0),IFERROR(FIND({"区"},A286),0),IFERROR(FIND({"县"},A286),0))+1,FIND("街道",A286)-MAX(IFERROR(FIND({"省"},A286),0),IFERROR(FIND({"市"},A286),0),IFERROR(FIND({"区"},A286),0),IFERROR(FIND({"县"},A286),0))-1+2)</f>
        <v>湖里街道</v>
      </c>
      <c r="O286" s="4" t="str" cm="1">
        <f t="array" ref="O286">_xlfn.LET(_xlpm.fullText,A286,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86" s="4" t="str" cm="1">
        <f t="array" ref="Q286">_xlfn.LET(_xlpm.fullText,A286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87" spans="1:17">
      <c r="A287" s="3" t="s">
        <v>90</v>
      </c>
      <c r="K287" s="4" t="str" cm="1">
        <f t="array" ref="K287">MID(A287,MAX(IFERROR(FIND({"省","市","区","县"},A287),0))+1,FIND("街道",A287)-MAX(IFERROR(FIND({"省","市","区","县"},A287),0))-1+2)</f>
        <v>湖里街道</v>
      </c>
      <c r="M287" s="4" t="str" cm="1">
        <f t="array" ref="M287">MID(A287,MAX(IFERROR(FIND({"省"},A287),0),IFERROR(FIND({"市"},A287),0),IFERROR(FIND({"区"},A287),0),IFERROR(FIND({"县"},A287),0))+1,FIND("街道",A287)-MAX(IFERROR(FIND({"省"},A287),0),IFERROR(FIND({"市"},A287),0),IFERROR(FIND({"区"},A287),0),IFERROR(FIND({"县"},A287),0))-1+2)</f>
        <v>湖里街道</v>
      </c>
      <c r="O287" s="4" t="str" cm="1">
        <f t="array" ref="O287">_xlfn.LET(_xlpm.fullText,A287,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87" s="4" t="str" cm="1">
        <f t="array" ref="Q287">_xlfn.LET(_xlpm.fullText,A287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88" spans="1:17">
      <c r="A288" s="3" t="s">
        <v>27</v>
      </c>
      <c r="K288" s="4" t="str" cm="1">
        <f t="array" ref="K288">MID(A288,MAX(IFERROR(FIND({"省","市","区","县"},A288),0))+1,FIND("街道",A288)-MAX(IFERROR(FIND({"省","市","区","县"},A288),0))-1+2)</f>
        <v>东海街道</v>
      </c>
      <c r="M288" s="4" t="str" cm="1">
        <f t="array" ref="M288">MID(A288,MAX(IFERROR(FIND({"省"},A288),0),IFERROR(FIND({"市"},A288),0),IFERROR(FIND({"区"},A288),0),IFERROR(FIND({"县"},A288),0))+1,FIND("街道",A288)-MAX(IFERROR(FIND({"省"},A288),0),IFERROR(FIND({"市"},A288),0),IFERROR(FIND({"区"},A288),0),IFERROR(FIND({"县"},A288),0))-1+2)</f>
        <v>东海街道</v>
      </c>
      <c r="O288" s="4" t="str" cm="1">
        <f t="array" ref="O288">_xlfn.LET(_xlpm.fullText,A288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88" s="4" t="str" cm="1">
        <f t="array" ref="Q288">_xlfn.LET(_xlpm.fullText,A288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89" spans="1:17">
      <c r="A289" s="3" t="s">
        <v>137</v>
      </c>
      <c r="K289" s="4" t="str" cm="1">
        <f t="array" ref="K289">MID(A289,MAX(IFERROR(FIND({"省","市","区","县"},A289),0))+1,FIND("街道",A289)-MAX(IFERROR(FIND({"省","市","区","县"},A289),0))-1+2)</f>
        <v>禾山街道</v>
      </c>
      <c r="M289" s="4" t="str" cm="1">
        <f t="array" ref="M289">MID(A289,MAX(IFERROR(FIND({"省"},A289),0),IFERROR(FIND({"市"},A289),0),IFERROR(FIND({"区"},A289),0),IFERROR(FIND({"县"},A289),0))+1,FIND("街道",A289)-MAX(IFERROR(FIND({"省"},A289),0),IFERROR(FIND({"市"},A289),0),IFERROR(FIND({"区"},A289),0),IFERROR(FIND({"县"},A289),0))-1+2)</f>
        <v>禾山街道</v>
      </c>
      <c r="O289" s="4" t="str" cm="1">
        <f t="array" ref="O289">_xlfn.LET(_xlpm.fullText,A289,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289" s="4" t="str" cm="1">
        <f t="array" ref="Q289">_xlfn.LET(_xlpm.fullText,A289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290" spans="1:17">
      <c r="A290" s="3" t="s">
        <v>54</v>
      </c>
      <c r="K290" s="4" t="str" cm="1">
        <f t="array" ref="K290">MID(A290,MAX(IFERROR(FIND({"省","市","区","县"},A290),0))+1,FIND("街道",A290)-MAX(IFERROR(FIND({"省","市","区","县"},A290),0))-1+2)</f>
        <v>东海街道</v>
      </c>
      <c r="M290" s="4" t="str" cm="1">
        <f t="array" ref="M290">MID(A290,MAX(IFERROR(FIND({"省"},A290),0),IFERROR(FIND({"市"},A290),0),IFERROR(FIND({"区"},A290),0),IFERROR(FIND({"县"},A290),0))+1,FIND("街道",A290)-MAX(IFERROR(FIND({"省"},A290),0),IFERROR(FIND({"市"},A290),0),IFERROR(FIND({"区"},A290),0),IFERROR(FIND({"县"},A290),0))-1+2)</f>
        <v>东海街道</v>
      </c>
      <c r="O290" s="4" t="str" cm="1">
        <f t="array" ref="O290">_xlfn.LET(_xlpm.fullText,A290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90" s="4" t="str" cm="1">
        <f t="array" ref="Q290">_xlfn.LET(_xlpm.fullText,A290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91" spans="1:17">
      <c r="A291" s="3" t="s">
        <v>54</v>
      </c>
      <c r="K291" s="4" t="str" cm="1">
        <f t="array" ref="K291">MID(A291,MAX(IFERROR(FIND({"省","市","区","县"},A291),0))+1,FIND("街道",A291)-MAX(IFERROR(FIND({"省","市","区","县"},A291),0))-1+2)</f>
        <v>东海街道</v>
      </c>
      <c r="M291" s="4" t="str" cm="1">
        <f t="array" ref="M291">MID(A291,MAX(IFERROR(FIND({"省"},A291),0),IFERROR(FIND({"市"},A291),0),IFERROR(FIND({"区"},A291),0),IFERROR(FIND({"县"},A291),0))+1,FIND("街道",A291)-MAX(IFERROR(FIND({"省"},A291),0),IFERROR(FIND({"市"},A291),0),IFERROR(FIND({"区"},A291),0),IFERROR(FIND({"县"},A291),0))-1+2)</f>
        <v>东海街道</v>
      </c>
      <c r="O291" s="4" t="str" cm="1">
        <f t="array" ref="O291">_xlfn.LET(_xlpm.fullText,A291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91" s="4" t="str" cm="1">
        <f t="array" ref="Q291">_xlfn.LET(_xlpm.fullText,A291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92" spans="1:17">
      <c r="A292" s="3" t="s">
        <v>54</v>
      </c>
      <c r="K292" s="4" t="str" cm="1">
        <f t="array" ref="K292">MID(A292,MAX(IFERROR(FIND({"省","市","区","县"},A292),0))+1,FIND("街道",A292)-MAX(IFERROR(FIND({"省","市","区","县"},A292),0))-1+2)</f>
        <v>东海街道</v>
      </c>
      <c r="M292" s="4" t="str" cm="1">
        <f t="array" ref="M292">MID(A292,MAX(IFERROR(FIND({"省"},A292),0),IFERROR(FIND({"市"},A292),0),IFERROR(FIND({"区"},A292),0),IFERROR(FIND({"县"},A292),0))+1,FIND("街道",A292)-MAX(IFERROR(FIND({"省"},A292),0),IFERROR(FIND({"市"},A292),0),IFERROR(FIND({"区"},A292),0),IFERROR(FIND({"县"},A292),0))-1+2)</f>
        <v>东海街道</v>
      </c>
      <c r="O292" s="4" t="str" cm="1">
        <f t="array" ref="O292">_xlfn.LET(_xlpm.fullText,A292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92" s="4" t="str" cm="1">
        <f t="array" ref="Q292">_xlfn.LET(_xlpm.fullText,A292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93" spans="1:17">
      <c r="A293" s="3" t="s">
        <v>54</v>
      </c>
      <c r="K293" s="4" t="str" cm="1">
        <f t="array" ref="K293">MID(A293,MAX(IFERROR(FIND({"省","市","区","县"},A293),0))+1,FIND("街道",A293)-MAX(IFERROR(FIND({"省","市","区","县"},A293),0))-1+2)</f>
        <v>东海街道</v>
      </c>
      <c r="M293" s="4" t="str" cm="1">
        <f t="array" ref="M293">MID(A293,MAX(IFERROR(FIND({"省"},A293),0),IFERROR(FIND({"市"},A293),0),IFERROR(FIND({"区"},A293),0),IFERROR(FIND({"县"},A293),0))+1,FIND("街道",A293)-MAX(IFERROR(FIND({"省"},A293),0),IFERROR(FIND({"市"},A293),0),IFERROR(FIND({"区"},A293),0),IFERROR(FIND({"县"},A293),0))-1+2)</f>
        <v>东海街道</v>
      </c>
      <c r="O293" s="4" t="str" cm="1">
        <f t="array" ref="O293">_xlfn.LET(_xlpm.fullText,A293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93" s="4" t="str" cm="1">
        <f t="array" ref="Q293">_xlfn.LET(_xlpm.fullText,A293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94" spans="1:17">
      <c r="A294" s="3" t="s">
        <v>27</v>
      </c>
      <c r="K294" s="4" t="str" cm="1">
        <f t="array" ref="K294">MID(A294,MAX(IFERROR(FIND({"省","市","区","县"},A294),0))+1,FIND("街道",A294)-MAX(IFERROR(FIND({"省","市","区","县"},A294),0))-1+2)</f>
        <v>东海街道</v>
      </c>
      <c r="M294" s="4" t="str" cm="1">
        <f t="array" ref="M294">MID(A294,MAX(IFERROR(FIND({"省"},A294),0),IFERROR(FIND({"市"},A294),0),IFERROR(FIND({"区"},A294),0),IFERROR(FIND({"县"},A294),0))+1,FIND("街道",A294)-MAX(IFERROR(FIND({"省"},A294),0),IFERROR(FIND({"市"},A294),0),IFERROR(FIND({"区"},A294),0),IFERROR(FIND({"县"},A294),0))-1+2)</f>
        <v>东海街道</v>
      </c>
      <c r="O294" s="4" t="str" cm="1">
        <f t="array" ref="O294">_xlfn.LET(_xlpm.fullText,A294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94" s="4" t="str" cm="1">
        <f t="array" ref="Q294">_xlfn.LET(_xlpm.fullText,A294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95" spans="1:17">
      <c r="A295" s="3" t="s">
        <v>27</v>
      </c>
      <c r="K295" s="4" t="str" cm="1">
        <f t="array" ref="K295">MID(A295,MAX(IFERROR(FIND({"省","市","区","县"},A295),0))+1,FIND("街道",A295)-MAX(IFERROR(FIND({"省","市","区","县"},A295),0))-1+2)</f>
        <v>东海街道</v>
      </c>
      <c r="M295" s="4" t="str" cm="1">
        <f t="array" ref="M295">MID(A295,MAX(IFERROR(FIND({"省"},A295),0),IFERROR(FIND({"市"},A295),0),IFERROR(FIND({"区"},A295),0),IFERROR(FIND({"县"},A295),0))+1,FIND("街道",A295)-MAX(IFERROR(FIND({"省"},A295),0),IFERROR(FIND({"市"},A295),0),IFERROR(FIND({"区"},A295),0),IFERROR(FIND({"县"},A295),0))-1+2)</f>
        <v>东海街道</v>
      </c>
      <c r="O295" s="4" t="str" cm="1">
        <f t="array" ref="O295">_xlfn.LET(_xlpm.fullText,A295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295" s="4" t="str" cm="1">
        <f t="array" ref="Q295">_xlfn.LET(_xlpm.fullText,A295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296" spans="1:17">
      <c r="A296" s="3" t="s">
        <v>150</v>
      </c>
      <c r="K296" s="4" t="str" cm="1">
        <f t="array" ref="K296">MID(A296,MAX(IFERROR(FIND({"省","市","区","县"},A296),0))+1,FIND("街道",A296)-MAX(IFERROR(FIND({"省","市","区","县"},A296),0))-1+2)</f>
        <v>凤岗街道</v>
      </c>
      <c r="M296" s="4" t="str" cm="1">
        <f t="array" ref="M296">MID(A296,MAX(IFERROR(FIND({"省"},A296),0),IFERROR(FIND({"市"},A296),0),IFERROR(FIND({"区"},A296),0),IFERROR(FIND({"县"},A296),0))+1,FIND("街道",A296)-MAX(IFERROR(FIND({"省"},A296),0),IFERROR(FIND({"市"},A296),0),IFERROR(FIND({"区"},A296),0),IFERROR(FIND({"县"},A296),0))-1+2)</f>
        <v>凤岗街道</v>
      </c>
      <c r="O296" s="4" t="str" cm="1">
        <f t="array" ref="O296">_xlfn.LET(_xlpm.fullText,A296,_xlpm.streetPos,FIND("街道",_xlpm.fullText)+2,_xlpm.prefixText,LEFT(_xlpm.fullText,_xlpm.streetPos-1),_xlpm.adminPos,MAX(IFERROR(FIND({"省","市","区","县"},_xlpm.prefixText),0)),IF(_xlpm.adminPos&gt;0,MID(_xlpm.prefixText,_xlpm.adminPos+1,_xlpm.streetPos-_xlpm.adminPos-3+2),LEFT(_xlpm.prefixText,FIND("街道",_xlpm.prefixText)-1+2)))</f>
        <v>凤岗街道</v>
      </c>
      <c r="Q296" s="4" t="str" cm="1">
        <f t="array" ref="Q296">_xlfn.LET(_xlpm.fullText,A296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凤岗街道</v>
      </c>
    </row>
    <row r="297" ht="28.8" spans="1:17">
      <c r="A297" s="3" t="s">
        <v>151</v>
      </c>
      <c r="K297" s="4" t="str" cm="1">
        <f t="array" ref="K297">MID(A297,MAX(IFERROR(FIND({"省","市","区","县"},A297),0))+1,FIND("街道",A297)-MAX(IFERROR(FIND({"省","市","区","县"},A297),0))-1+2)</f>
        <v>永安市燕南街道</v>
      </c>
      <c r="M297" s="4" t="str" cm="1">
        <f t="array" ref="M297">MID(A297,MAX(IFERROR(FIND({"省"},A297),0),IFERROR(FIND({"市"},A297),0),IFERROR(FIND({"区"},A297),0),IFERROR(FIND({"县"},A297),0))+1,FIND("街道",A297)-MAX(IFERROR(FIND({"省"},A297),0),IFERROR(FIND({"市"},A297),0),IFERROR(FIND({"区"},A297),0),IFERROR(FIND({"县"},A297),0))-1+2)</f>
        <v>永安市燕南街道</v>
      </c>
      <c r="O297" s="4" t="str" cm="1">
        <f t="array" ref="O297">_xlfn.LET(_xlpm.fullText,A297,_xlpm.streetPos,FIND("街道",_xlpm.fullText)+2,_xlpm.prefixText,LEFT(_xlpm.fullText,_xlpm.streetPos-1),_xlpm.adminPos,MAX(IFERROR(FIND({"省","市","区","县"},_xlpm.prefixText),0)),IF(_xlpm.adminPos&gt;0,MID(_xlpm.prefixText,_xlpm.adminPos+1,_xlpm.streetPos-_xlpm.adminPos-3+2),LEFT(_xlpm.prefixText,FIND("街道",_xlpm.prefixText)-1+2)))</f>
        <v>永安市燕南街道</v>
      </c>
      <c r="Q297" s="4" t="str" cm="1">
        <f t="array" ref="Q297">_xlfn.LET(_xlpm.fullText,A297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燕南街道</v>
      </c>
    </row>
    <row r="298" spans="1:17">
      <c r="A298" s="3" t="s">
        <v>152</v>
      </c>
      <c r="K298" s="4" t="str" cm="1">
        <f t="array" ref="K298">MID(A298,MAX(IFERROR(FIND({"省","市","区","县"},A298),0))+1,FIND("街道",A298)-MAX(IFERROR(FIND({"省","市","区","县"},A298),0))-1+2)</f>
        <v>湖里街道</v>
      </c>
      <c r="M298" s="4" t="str" cm="1">
        <f t="array" ref="M298">MID(A298,MAX(IFERROR(FIND({"省"},A298),0),IFERROR(FIND({"市"},A298),0),IFERROR(FIND({"区"},A298),0),IFERROR(FIND({"县"},A298),0))+1,FIND("街道",A298)-MAX(IFERROR(FIND({"省"},A298),0),IFERROR(FIND({"市"},A298),0),IFERROR(FIND({"区"},A298),0),IFERROR(FIND({"县"},A298),0))-1+2)</f>
        <v>湖里街道</v>
      </c>
      <c r="O298" s="4" t="str" cm="1">
        <f t="array" ref="O298">_xlfn.LET(_xlpm.fullText,A298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98" s="4" t="str" cm="1">
        <f t="array" ref="Q298">_xlfn.LET(_xlpm.fullText,A298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299" spans="1:17">
      <c r="A299" s="3" t="s">
        <v>90</v>
      </c>
      <c r="K299" s="4" t="str" cm="1">
        <f t="array" ref="K299">MID(A299,MAX(IFERROR(FIND({"省","市","区","县"},A299),0))+1,FIND("街道",A299)-MAX(IFERROR(FIND({"省","市","区","县"},A299),0))-1+2)</f>
        <v>湖里街道</v>
      </c>
      <c r="M299" s="4" t="str" cm="1">
        <f t="array" ref="M299">MID(A299,MAX(IFERROR(FIND({"省"},A299),0),IFERROR(FIND({"市"},A299),0),IFERROR(FIND({"区"},A299),0),IFERROR(FIND({"县"},A299),0))+1,FIND("街道",A299)-MAX(IFERROR(FIND({"省"},A299),0),IFERROR(FIND({"市"},A299),0),IFERROR(FIND({"区"},A299),0),IFERROR(FIND({"县"},A299),0))-1+2)</f>
        <v>湖里街道</v>
      </c>
      <c r="O299" s="4" t="str" cm="1">
        <f t="array" ref="O299">_xlfn.LET(_xlpm.fullText,A299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299" s="4" t="str" cm="1">
        <f t="array" ref="Q299">_xlfn.LET(_xlpm.fullText,A299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00" spans="1:17">
      <c r="A300" s="3" t="s">
        <v>90</v>
      </c>
      <c r="K300" s="4" t="str" cm="1">
        <f t="array" ref="K300">MID(A300,MAX(IFERROR(FIND({"省","市","区","县"},A300),0))+1,FIND("街道",A300)-MAX(IFERROR(FIND({"省","市","区","县"},A300),0))-1+2)</f>
        <v>湖里街道</v>
      </c>
      <c r="M300" s="4" t="str" cm="1">
        <f t="array" ref="M300">MID(A300,MAX(IFERROR(FIND({"省"},A300),0),IFERROR(FIND({"市"},A300),0),IFERROR(FIND({"区"},A300),0),IFERROR(FIND({"县"},A300),0))+1,FIND("街道",A300)-MAX(IFERROR(FIND({"省"},A300),0),IFERROR(FIND({"市"},A300),0),IFERROR(FIND({"区"},A300),0),IFERROR(FIND({"县"},A300),0))-1+2)</f>
        <v>湖里街道</v>
      </c>
      <c r="O300" s="4" t="str" cm="1">
        <f t="array" ref="O300">_xlfn.LET(_xlpm.fullText,A300,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300" s="4" t="str" cm="1">
        <f t="array" ref="Q300">_xlfn.LET(_xlpm.fullText,A300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01" spans="1:17">
      <c r="A301" s="3" t="s">
        <v>153</v>
      </c>
      <c r="K301" s="4" t="str" cm="1">
        <f t="array" ref="K301">MID(A301,MAX(IFERROR(FIND({"省","市","区","县"},A301),0))+1,FIND("街道",A301)-MAX(IFERROR(FIND({"省","市","区","县"},A301),0))-1+2)</f>
        <v>东海街道</v>
      </c>
      <c r="M301" s="4" t="str" cm="1">
        <f t="array" ref="M301">MID(A301,MAX(IFERROR(FIND({"省"},A301),0),IFERROR(FIND({"市"},A301),0),IFERROR(FIND({"区"},A301),0),IFERROR(FIND({"县"},A301),0))+1,FIND("街道",A301)-MAX(IFERROR(FIND({"省"},A301),0),IFERROR(FIND({"市"},A301),0),IFERROR(FIND({"区"},A301),0),IFERROR(FIND({"县"},A301),0))-1+2)</f>
        <v>东海街道</v>
      </c>
      <c r="O301" s="4" t="str" cm="1">
        <f t="array" ref="O301">_xlfn.LET(_xlpm.fullText,A301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1" s="4" t="str" cm="1">
        <f t="array" ref="Q301">_xlfn.LET(_xlpm.fullText,A301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2" spans="1:17">
      <c r="A302" s="3" t="s">
        <v>154</v>
      </c>
      <c r="K302" s="4" t="str" cm="1">
        <f t="array" ref="K302">MID(A302,MAX(IFERROR(FIND({"省","市","区","县"},A302),0))+1,FIND("街道",A302)-MAX(IFERROR(FIND({"省","市","区","县"},A302),0))-1+2)</f>
        <v>东海街道</v>
      </c>
      <c r="M302" s="4" t="str" cm="1">
        <f t="array" ref="M302">MID(A302,MAX(IFERROR(FIND({"省"},A302),0),IFERROR(FIND({"市"},A302),0),IFERROR(FIND({"区"},A302),0),IFERROR(FIND({"县"},A302),0))+1,FIND("街道",A302)-MAX(IFERROR(FIND({"省"},A302),0),IFERROR(FIND({"市"},A302),0),IFERROR(FIND({"区"},A302),0),IFERROR(FIND({"县"},A302),0))-1+2)</f>
        <v>东海街道</v>
      </c>
      <c r="O302" s="4" t="str" cm="1">
        <f t="array" ref="O302">_xlfn.LET(_xlpm.fullText,A302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2" s="4" t="str" cm="1">
        <f t="array" ref="Q302">_xlfn.LET(_xlpm.fullText,A302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3" spans="1:17">
      <c r="A303" s="3" t="s">
        <v>154</v>
      </c>
      <c r="K303" s="4" t="str" cm="1">
        <f t="array" ref="K303">MID(A303,MAX(IFERROR(FIND({"省","市","区","县"},A303),0))+1,FIND("街道",A303)-MAX(IFERROR(FIND({"省","市","区","县"},A303),0))-1+2)</f>
        <v>东海街道</v>
      </c>
      <c r="M303" s="4" t="str" cm="1">
        <f t="array" ref="M303">MID(A303,MAX(IFERROR(FIND({"省"},A303),0),IFERROR(FIND({"市"},A303),0),IFERROR(FIND({"区"},A303),0),IFERROR(FIND({"县"},A303),0))+1,FIND("街道",A303)-MAX(IFERROR(FIND({"省"},A303),0),IFERROR(FIND({"市"},A303),0),IFERROR(FIND({"区"},A303),0),IFERROR(FIND({"县"},A303),0))-1+2)</f>
        <v>东海街道</v>
      </c>
      <c r="O303" s="4" t="str" cm="1">
        <f t="array" ref="O303">_xlfn.LET(_xlpm.fullText,A303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3" s="4" t="str" cm="1">
        <f t="array" ref="Q303">_xlfn.LET(_xlpm.fullText,A303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4" spans="1:17">
      <c r="A304" s="3" t="s">
        <v>154</v>
      </c>
      <c r="K304" s="4" t="str" cm="1">
        <f t="array" ref="K304">MID(A304,MAX(IFERROR(FIND({"省","市","区","县"},A304),0))+1,FIND("街道",A304)-MAX(IFERROR(FIND({"省","市","区","县"},A304),0))-1+2)</f>
        <v>东海街道</v>
      </c>
      <c r="M304" s="4" t="str" cm="1">
        <f t="array" ref="M304">MID(A304,MAX(IFERROR(FIND({"省"},A304),0),IFERROR(FIND({"市"},A304),0),IFERROR(FIND({"区"},A304),0),IFERROR(FIND({"县"},A304),0))+1,FIND("街道",A304)-MAX(IFERROR(FIND({"省"},A304),0),IFERROR(FIND({"市"},A304),0),IFERROR(FIND({"区"},A304),0),IFERROR(FIND({"县"},A304),0))-1+2)</f>
        <v>东海街道</v>
      </c>
      <c r="O304" s="4" t="str" cm="1">
        <f t="array" ref="O304">_xlfn.LET(_xlpm.fullText,A304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4" s="4" t="str" cm="1">
        <f t="array" ref="Q304">_xlfn.LET(_xlpm.fullText,A304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5" spans="1:17">
      <c r="A305" s="3" t="s">
        <v>155</v>
      </c>
      <c r="K305" s="4" t="str" cm="1">
        <f t="array" ref="K305">MID(A305,MAX(IFERROR(FIND({"省","市","区","县"},A305),0))+1,FIND("街道",A305)-MAX(IFERROR(FIND({"省","市","区","县"},A305),0))-1+2)</f>
        <v>东海街道</v>
      </c>
      <c r="M305" s="4" t="str" cm="1">
        <f t="array" ref="M305">MID(A305,MAX(IFERROR(FIND({"省"},A305),0),IFERROR(FIND({"市"},A305),0),IFERROR(FIND({"区"},A305),0),IFERROR(FIND({"县"},A305),0))+1,FIND("街道",A305)-MAX(IFERROR(FIND({"省"},A305),0),IFERROR(FIND({"市"},A305),0),IFERROR(FIND({"区"},A305),0),IFERROR(FIND({"县"},A305),0))-1+2)</f>
        <v>东海街道</v>
      </c>
      <c r="O305" s="4" t="str" cm="1">
        <f t="array" ref="O305">_xlfn.LET(_xlpm.fullText,A305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5" s="4" t="str" cm="1">
        <f t="array" ref="Q305">_xlfn.LET(_xlpm.fullText,A305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6" spans="1:17">
      <c r="A306" s="3" t="s">
        <v>154</v>
      </c>
      <c r="K306" s="4" t="str" cm="1">
        <f t="array" ref="K306">MID(A306,MAX(IFERROR(FIND({"省","市","区","县"},A306),0))+1,FIND("街道",A306)-MAX(IFERROR(FIND({"省","市","区","县"},A306),0))-1+2)</f>
        <v>东海街道</v>
      </c>
      <c r="M306" s="4" t="str" cm="1">
        <f t="array" ref="M306">MID(A306,MAX(IFERROR(FIND({"省"},A306),0),IFERROR(FIND({"市"},A306),0),IFERROR(FIND({"区"},A306),0),IFERROR(FIND({"县"},A306),0))+1,FIND("街道",A306)-MAX(IFERROR(FIND({"省"},A306),0),IFERROR(FIND({"市"},A306),0),IFERROR(FIND({"区"},A306),0),IFERROR(FIND({"县"},A306),0))-1+2)</f>
        <v>东海街道</v>
      </c>
      <c r="O306" s="4" t="str" cm="1">
        <f t="array" ref="O306">_xlfn.LET(_xlpm.fullText,A306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6" s="4" t="str" cm="1">
        <f t="array" ref="Q306">_xlfn.LET(_xlpm.fullText,A306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7" spans="1:17">
      <c r="A307" s="3" t="s">
        <v>154</v>
      </c>
      <c r="K307" s="4" t="str" cm="1">
        <f t="array" ref="K307">MID(A307,MAX(IFERROR(FIND({"省","市","区","县"},A307),0))+1,FIND("街道",A307)-MAX(IFERROR(FIND({"省","市","区","县"},A307),0))-1+2)</f>
        <v>东海街道</v>
      </c>
      <c r="M307" s="4" t="str" cm="1">
        <f t="array" ref="M307">MID(A307,MAX(IFERROR(FIND({"省"},A307),0),IFERROR(FIND({"市"},A307),0),IFERROR(FIND({"区"},A307),0),IFERROR(FIND({"县"},A307),0))+1,FIND("街道",A307)-MAX(IFERROR(FIND({"省"},A307),0),IFERROR(FIND({"市"},A307),0),IFERROR(FIND({"区"},A307),0),IFERROR(FIND({"县"},A307),0))-1+2)</f>
        <v>东海街道</v>
      </c>
      <c r="O307" s="4" t="str" cm="1">
        <f t="array" ref="O307">_xlfn.LET(_xlpm.fullText,A307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7" s="4" t="str" cm="1">
        <f t="array" ref="Q307">_xlfn.LET(_xlpm.fullText,A307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8" spans="1:17">
      <c r="A308" s="3" t="s">
        <v>154</v>
      </c>
      <c r="K308" s="4" t="str" cm="1">
        <f t="array" ref="K308">MID(A308,MAX(IFERROR(FIND({"省","市","区","县"},A308),0))+1,FIND("街道",A308)-MAX(IFERROR(FIND({"省","市","区","县"},A308),0))-1+2)</f>
        <v>东海街道</v>
      </c>
      <c r="M308" s="4" t="str" cm="1">
        <f t="array" ref="M308">MID(A308,MAX(IFERROR(FIND({"省"},A308),0),IFERROR(FIND({"市"},A308),0),IFERROR(FIND({"区"},A308),0),IFERROR(FIND({"县"},A308),0))+1,FIND("街道",A308)-MAX(IFERROR(FIND({"省"},A308),0),IFERROR(FIND({"市"},A308),0),IFERROR(FIND({"区"},A308),0),IFERROR(FIND({"县"},A308),0))-1+2)</f>
        <v>东海街道</v>
      </c>
      <c r="O308" s="4" t="str" cm="1">
        <f t="array" ref="O308">_xlfn.LET(_xlpm.fullText,A308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8" s="4" t="str" cm="1">
        <f t="array" ref="Q308">_xlfn.LET(_xlpm.fullText,A308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09" spans="1:17">
      <c r="A309" s="3" t="s">
        <v>154</v>
      </c>
      <c r="K309" s="4" t="str" cm="1">
        <f t="array" ref="K309">MID(A309,MAX(IFERROR(FIND({"省","市","区","县"},A309),0))+1,FIND("街道",A309)-MAX(IFERROR(FIND({"省","市","区","县"},A309),0))-1+2)</f>
        <v>东海街道</v>
      </c>
      <c r="M309" s="4" t="str" cm="1">
        <f t="array" ref="M309">MID(A309,MAX(IFERROR(FIND({"省"},A309),0),IFERROR(FIND({"市"},A309),0),IFERROR(FIND({"区"},A309),0),IFERROR(FIND({"县"},A309),0))+1,FIND("街道",A309)-MAX(IFERROR(FIND({"省"},A309),0),IFERROR(FIND({"市"},A309),0),IFERROR(FIND({"区"},A309),0),IFERROR(FIND({"县"},A309),0))-1+2)</f>
        <v>东海街道</v>
      </c>
      <c r="O309" s="4" t="str" cm="1">
        <f t="array" ref="O309">_xlfn.LET(_xlpm.fullText,A309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09" s="4" t="str" cm="1">
        <f t="array" ref="Q309">_xlfn.LET(_xlpm.fullText,A309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0" spans="1:17">
      <c r="A310" s="3" t="s">
        <v>156</v>
      </c>
      <c r="K310" s="4" t="str" cm="1">
        <f t="array" ref="K310">MID(A310,MAX(IFERROR(FIND({"省","市","区","县"},A310),0))+1,FIND("街道",A310)-MAX(IFERROR(FIND({"省","市","区","县"},A310),0))-1+2)</f>
        <v>东海街道</v>
      </c>
      <c r="M310" s="4" t="str" cm="1">
        <f t="array" ref="M310">MID(A310,MAX(IFERROR(FIND({"省"},A310),0),IFERROR(FIND({"市"},A310),0),IFERROR(FIND({"区"},A310),0),IFERROR(FIND({"县"},A310),0))+1,FIND("街道",A310)-MAX(IFERROR(FIND({"省"},A310),0),IFERROR(FIND({"市"},A310),0),IFERROR(FIND({"区"},A310),0),IFERROR(FIND({"县"},A310),0))-1+2)</f>
        <v>东海街道</v>
      </c>
      <c r="O310" s="4" t="str" cm="1">
        <f t="array" ref="O310">_xlfn.LET(_xlpm.fullText,A310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0" s="4" t="str" cm="1">
        <f t="array" ref="Q310">_xlfn.LET(_xlpm.fullText,A310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1" spans="1:17">
      <c r="A311" s="3" t="s">
        <v>154</v>
      </c>
      <c r="K311" s="4" t="str" cm="1">
        <f t="array" ref="K311">MID(A311,MAX(IFERROR(FIND({"省","市","区","县"},A311),0))+1,FIND("街道",A311)-MAX(IFERROR(FIND({"省","市","区","县"},A311),0))-1+2)</f>
        <v>东海街道</v>
      </c>
      <c r="M311" s="4" t="str" cm="1">
        <f t="array" ref="M311">MID(A311,MAX(IFERROR(FIND({"省"},A311),0),IFERROR(FIND({"市"},A311),0),IFERROR(FIND({"区"},A311),0),IFERROR(FIND({"县"},A311),0))+1,FIND("街道",A311)-MAX(IFERROR(FIND({"省"},A311),0),IFERROR(FIND({"市"},A311),0),IFERROR(FIND({"区"},A311),0),IFERROR(FIND({"县"},A311),0))-1+2)</f>
        <v>东海街道</v>
      </c>
      <c r="O311" s="4" t="str" cm="1">
        <f t="array" ref="O311">_xlfn.LET(_xlpm.fullText,A311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1" s="4" t="str" cm="1">
        <f t="array" ref="Q311">_xlfn.LET(_xlpm.fullText,A311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2" spans="1:17">
      <c r="A312" s="3" t="s">
        <v>154</v>
      </c>
      <c r="K312" s="4" t="str" cm="1">
        <f t="array" ref="K312">MID(A312,MAX(IFERROR(FIND({"省","市","区","县"},A312),0))+1,FIND("街道",A312)-MAX(IFERROR(FIND({"省","市","区","县"},A312),0))-1+2)</f>
        <v>东海街道</v>
      </c>
      <c r="M312" s="4" t="str" cm="1">
        <f t="array" ref="M312">MID(A312,MAX(IFERROR(FIND({"省"},A312),0),IFERROR(FIND({"市"},A312),0),IFERROR(FIND({"区"},A312),0),IFERROR(FIND({"县"},A312),0))+1,FIND("街道",A312)-MAX(IFERROR(FIND({"省"},A312),0),IFERROR(FIND({"市"},A312),0),IFERROR(FIND({"区"},A312),0),IFERROR(FIND({"县"},A312),0))-1+2)</f>
        <v>东海街道</v>
      </c>
      <c r="O312" s="4" t="str" cm="1">
        <f t="array" ref="O312">_xlfn.LET(_xlpm.fullText,A312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2" s="4" t="str" cm="1">
        <f t="array" ref="Q312">_xlfn.LET(_xlpm.fullText,A312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3" spans="1:17">
      <c r="A313" s="3" t="s">
        <v>90</v>
      </c>
      <c r="K313" s="4" t="str" cm="1">
        <f t="array" ref="K313">MID(A313,MAX(IFERROR(FIND({"省","市","区","县"},A313),0))+1,FIND("街道",A313)-MAX(IFERROR(FIND({"省","市","区","县"},A313),0))-1+2)</f>
        <v>湖里街道</v>
      </c>
      <c r="M313" s="4" t="str" cm="1">
        <f t="array" ref="M313">MID(A313,MAX(IFERROR(FIND({"省"},A313),0),IFERROR(FIND({"市"},A313),0),IFERROR(FIND({"区"},A313),0),IFERROR(FIND({"县"},A313),0))+1,FIND("街道",A313)-MAX(IFERROR(FIND({"省"},A313),0),IFERROR(FIND({"市"},A313),0),IFERROR(FIND({"区"},A313),0),IFERROR(FIND({"县"},A313),0))-1+2)</f>
        <v>湖里街道</v>
      </c>
      <c r="O313" s="4" t="str" cm="1">
        <f t="array" ref="O313">_xlfn.LET(_xlpm.fullText,A313,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313" s="4" t="str" cm="1">
        <f t="array" ref="Q313">_xlfn.LET(_xlpm.fullText,A313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14" spans="1:17">
      <c r="A314" s="3" t="s">
        <v>27</v>
      </c>
      <c r="K314" s="4" t="str" cm="1">
        <f t="array" ref="K314">MID(A314,MAX(IFERROR(FIND({"省","市","区","县"},A314),0))+1,FIND("街道",A314)-MAX(IFERROR(FIND({"省","市","区","县"},A314),0))-1+2)</f>
        <v>东海街道</v>
      </c>
      <c r="M314" s="4" t="str" cm="1">
        <f t="array" ref="M314">MID(A314,MAX(IFERROR(FIND({"省"},A314),0),IFERROR(FIND({"市"},A314),0),IFERROR(FIND({"区"},A314),0),IFERROR(FIND({"县"},A314),0))+1,FIND("街道",A314)-MAX(IFERROR(FIND({"省"},A314),0),IFERROR(FIND({"市"},A314),0),IFERROR(FIND({"区"},A314),0),IFERROR(FIND({"县"},A314),0))-1+2)</f>
        <v>东海街道</v>
      </c>
      <c r="O314" s="4" t="str" cm="1">
        <f t="array" ref="O314">_xlfn.LET(_xlpm.fullText,A314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4" s="4" t="str" cm="1">
        <f t="array" ref="Q314">_xlfn.LET(_xlpm.fullText,A314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5" spans="1:17">
      <c r="A315" s="3" t="s">
        <v>27</v>
      </c>
      <c r="K315" s="4" t="str" cm="1">
        <f t="array" ref="K315">MID(A315,MAX(IFERROR(FIND({"省","市","区","县"},A315),0))+1,FIND("街道",A315)-MAX(IFERROR(FIND({"省","市","区","县"},A315),0))-1+2)</f>
        <v>东海街道</v>
      </c>
      <c r="M315" s="4" t="str" cm="1">
        <f t="array" ref="M315">MID(A315,MAX(IFERROR(FIND({"省"},A315),0),IFERROR(FIND({"市"},A315),0),IFERROR(FIND({"区"},A315),0),IFERROR(FIND({"县"},A315),0))+1,FIND("街道",A315)-MAX(IFERROR(FIND({"省"},A315),0),IFERROR(FIND({"市"},A315),0),IFERROR(FIND({"区"},A315),0),IFERROR(FIND({"县"},A315),0))-1+2)</f>
        <v>东海街道</v>
      </c>
      <c r="O315" s="4" t="str" cm="1">
        <f t="array" ref="O315">_xlfn.LET(_xlpm.fullText,A315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5" s="4" t="str" cm="1">
        <f t="array" ref="Q315">_xlfn.LET(_xlpm.fullText,A315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6" spans="1:17">
      <c r="A316" s="3" t="s">
        <v>157</v>
      </c>
      <c r="K316" s="4" t="str" cm="1">
        <f t="array" ref="K316">MID(A316,MAX(IFERROR(FIND({"省","市","区","县"},A316),0))+1,FIND("街道",A316)-MAX(IFERROR(FIND({"省","市","区","县"},A316),0))-1+2)</f>
        <v>民治街道</v>
      </c>
      <c r="M316" s="4" t="str" cm="1">
        <f t="array" ref="M316">MID(A316,MAX(IFERROR(FIND({"省"},A316),0),IFERROR(FIND({"市"},A316),0),IFERROR(FIND({"区"},A316),0),IFERROR(FIND({"县"},A316),0))+1,FIND("街道",A316)-MAX(IFERROR(FIND({"省"},A316),0),IFERROR(FIND({"市"},A316),0),IFERROR(FIND({"区"},A316),0),IFERROR(FIND({"县"},A316),0))-1+2)</f>
        <v>民治街道</v>
      </c>
      <c r="O316" s="4" t="str" cm="1">
        <f t="array" ref="O316">_xlfn.LET(_xlpm.fullText,A316,_xlpm.streetPos,FIND("街道",_xlpm.fullText)+2,_xlpm.prefixText,LEFT(_xlpm.fullText,_xlpm.streetPos-1),_xlpm.adminPos,MAX(IFERROR(FIND({"省","市","区","县"},_xlpm.prefixText),0)),IF(_xlpm.adminPos&gt;0,MID(_xlpm.prefixText,_xlpm.adminPos+1,_xlpm.streetPos-_xlpm.adminPos-3+2),LEFT(_xlpm.prefixText,FIND("街道",_xlpm.prefixText)-1+2)))</f>
        <v>民治街道</v>
      </c>
      <c r="Q316" s="4" t="str" cm="1">
        <f t="array" ref="Q316">_xlfn.LET(_xlpm.fullText,A316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民治街道</v>
      </c>
    </row>
    <row r="317" spans="1:17">
      <c r="A317" s="3" t="s">
        <v>27</v>
      </c>
      <c r="K317" s="4" t="str" cm="1">
        <f t="array" ref="K317">MID(A317,MAX(IFERROR(FIND({"省","市","区","县"},A317),0))+1,FIND("街道",A317)-MAX(IFERROR(FIND({"省","市","区","县"},A317),0))-1+2)</f>
        <v>东海街道</v>
      </c>
      <c r="M317" s="4" t="str" cm="1">
        <f t="array" ref="M317">MID(A317,MAX(IFERROR(FIND({"省"},A317),0),IFERROR(FIND({"市"},A317),0),IFERROR(FIND({"区"},A317),0),IFERROR(FIND({"县"},A317),0))+1,FIND("街道",A317)-MAX(IFERROR(FIND({"省"},A317),0),IFERROR(FIND({"市"},A317),0),IFERROR(FIND({"区"},A317),0),IFERROR(FIND({"县"},A317),0))-1+2)</f>
        <v>东海街道</v>
      </c>
      <c r="O317" s="4" t="str" cm="1">
        <f t="array" ref="O317">_xlfn.LET(_xlpm.fullText,A317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7" s="4" t="str" cm="1">
        <f t="array" ref="Q317">_xlfn.LET(_xlpm.fullText,A317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8" spans="1:17">
      <c r="A318" s="3" t="s">
        <v>27</v>
      </c>
      <c r="K318" s="4" t="str" cm="1">
        <f t="array" ref="K318">MID(A318,MAX(IFERROR(FIND({"省","市","区","县"},A318),0))+1,FIND("街道",A318)-MAX(IFERROR(FIND({"省","市","区","县"},A318),0))-1+2)</f>
        <v>东海街道</v>
      </c>
      <c r="M318" s="4" t="str" cm="1">
        <f t="array" ref="M318">MID(A318,MAX(IFERROR(FIND({"省"},A318),0),IFERROR(FIND({"市"},A318),0),IFERROR(FIND({"区"},A318),0),IFERROR(FIND({"县"},A318),0))+1,FIND("街道",A318)-MAX(IFERROR(FIND({"省"},A318),0),IFERROR(FIND({"市"},A318),0),IFERROR(FIND({"区"},A318),0),IFERROR(FIND({"县"},A318),0))-1+2)</f>
        <v>东海街道</v>
      </c>
      <c r="O318" s="4" t="str" cm="1">
        <f t="array" ref="O318">_xlfn.LET(_xlpm.fullText,A318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8" s="4" t="str" cm="1">
        <f t="array" ref="Q318">_xlfn.LET(_xlpm.fullText,A318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19" spans="1:17">
      <c r="A319" s="3" t="s">
        <v>27</v>
      </c>
      <c r="K319" s="4" t="str" cm="1">
        <f t="array" ref="K319">MID(A319,MAX(IFERROR(FIND({"省","市","区","县"},A319),0))+1,FIND("街道",A319)-MAX(IFERROR(FIND({"省","市","区","县"},A319),0))-1+2)</f>
        <v>东海街道</v>
      </c>
      <c r="M319" s="4" t="str" cm="1">
        <f t="array" ref="M319">MID(A319,MAX(IFERROR(FIND({"省"},A319),0),IFERROR(FIND({"市"},A319),0),IFERROR(FIND({"区"},A319),0),IFERROR(FIND({"县"},A319),0))+1,FIND("街道",A319)-MAX(IFERROR(FIND({"省"},A319),0),IFERROR(FIND({"市"},A319),0),IFERROR(FIND({"区"},A319),0),IFERROR(FIND({"县"},A319),0))-1+2)</f>
        <v>东海街道</v>
      </c>
      <c r="O319" s="4" t="str" cm="1">
        <f t="array" ref="O319">_xlfn.LET(_xlpm.fullText,A319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19" s="4" t="str" cm="1">
        <f t="array" ref="Q319">_xlfn.LET(_xlpm.fullText,A319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20" spans="1:17">
      <c r="A320" s="3" t="s">
        <v>158</v>
      </c>
      <c r="K320" s="4" t="str" cm="1">
        <f t="array" ref="K320">MID(A320,MAX(IFERROR(FIND({"省","市","区","县"},A320),0))+1,FIND("街道",A320)-MAX(IFERROR(FIND({"省","市","区","县"},A320),0))-1+2)</f>
        <v>东海街道</v>
      </c>
      <c r="M320" s="4" t="str" cm="1">
        <f t="array" ref="M320">MID(A320,MAX(IFERROR(FIND({"省"},A320),0),IFERROR(FIND({"市"},A320),0),IFERROR(FIND({"区"},A320),0),IFERROR(FIND({"县"},A320),0))+1,FIND("街道",A320)-MAX(IFERROR(FIND({"省"},A320),0),IFERROR(FIND({"市"},A320),0),IFERROR(FIND({"区"},A320),0),IFERROR(FIND({"县"},A320),0))-1+2)</f>
        <v>东海街道</v>
      </c>
      <c r="O320" s="4" t="str" cm="1">
        <f t="array" ref="O320">_xlfn.LET(_xlpm.fullText,A320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20" s="4" t="str" cm="1">
        <f t="array" ref="Q320">_xlfn.LET(_xlpm.fullText,A320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21" spans="1:17">
      <c r="A321" s="3" t="s">
        <v>159</v>
      </c>
      <c r="K321" s="4" t="str" cm="1">
        <f t="array" ref="K321">MID(A321,MAX(IFERROR(FIND({"省","市","区","县"},A321),0))+1,FIND("街道",A321)-MAX(IFERROR(FIND({"省","市","区","县"},A321),0))-1+2)</f>
        <v>殿前街道</v>
      </c>
      <c r="M321" s="4" t="str" cm="1">
        <f t="array" ref="M321">MID(A321,MAX(IFERROR(FIND({"省"},A321),0),IFERROR(FIND({"市"},A321),0),IFERROR(FIND({"区"},A321),0),IFERROR(FIND({"县"},A321),0))+1,FIND("街道",A321)-MAX(IFERROR(FIND({"省"},A321),0),IFERROR(FIND({"市"},A321),0),IFERROR(FIND({"区"},A321),0),IFERROR(FIND({"县"},A321),0))-1+2)</f>
        <v>殿前街道</v>
      </c>
      <c r="O321" s="4" t="str" cm="1">
        <f t="array" ref="O321">_xlfn.LET(_xlpm.fullText,A321,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321" s="4" t="str" cm="1">
        <f t="array" ref="Q321">_xlfn.LET(_xlpm.fullText,A321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322" spans="1:17">
      <c r="A322" s="3" t="s">
        <v>90</v>
      </c>
      <c r="K322" s="4" t="str" cm="1">
        <f t="array" ref="K322">MID(A322,MAX(IFERROR(FIND({"省","市","区","县"},A322),0))+1,FIND("街道",A322)-MAX(IFERROR(FIND({"省","市","区","县"},A322),0))-1+2)</f>
        <v>湖里街道</v>
      </c>
      <c r="M322" s="4" t="str" cm="1">
        <f t="array" ref="M322">MID(A322,MAX(IFERROR(FIND({"省"},A322),0),IFERROR(FIND({"市"},A322),0),IFERROR(FIND({"区"},A322),0),IFERROR(FIND({"县"},A322),0))+1,FIND("街道",A322)-MAX(IFERROR(FIND({"省"},A322),0),IFERROR(FIND({"市"},A322),0),IFERROR(FIND({"区"},A322),0),IFERROR(FIND({"县"},A322),0))-1+2)</f>
        <v>湖里街道</v>
      </c>
      <c r="O322" s="4" t="str" cm="1">
        <f t="array" ref="O322">_xlfn.LET(_xlpm.fullText,A322,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322" s="4" t="str" cm="1">
        <f t="array" ref="Q322">_xlfn.LET(_xlpm.fullText,A322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23" spans="1:17">
      <c r="A323" s="3" t="s">
        <v>122</v>
      </c>
      <c r="K323" s="4" t="str" cm="1">
        <f t="array" ref="K323">MID(A323,MAX(IFERROR(FIND({"省","市","区","县"},A323),0))+1,FIND("街道",A323)-MAX(IFERROR(FIND({"省","市","区","县"},A323),0))-1+2)</f>
        <v>东海街道</v>
      </c>
      <c r="M323" s="4" t="str" cm="1">
        <f t="array" ref="M323">MID(A323,MAX(IFERROR(FIND({"省"},A323),0),IFERROR(FIND({"市"},A323),0),IFERROR(FIND({"区"},A323),0),IFERROR(FIND({"县"},A323),0))+1,FIND("街道",A323)-MAX(IFERROR(FIND({"省"},A323),0),IFERROR(FIND({"市"},A323),0),IFERROR(FIND({"区"},A323),0),IFERROR(FIND({"县"},A323),0))-1+2)</f>
        <v>东海街道</v>
      </c>
      <c r="O323" s="4" t="str" cm="1">
        <f t="array" ref="O323">_xlfn.LET(_xlpm.fullText,A323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23" s="4" t="str" cm="1">
        <f t="array" ref="Q323">_xlfn.LET(_xlpm.fullText,A323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24" ht="28.8" spans="1:17">
      <c r="A324" s="3" t="s">
        <v>160</v>
      </c>
      <c r="K324" s="4" t="str" cm="1">
        <f t="array" ref="K324">MID(A324,MAX(IFERROR(FIND({"省","市","区","县"},A324),0))+1,FIND("街道",A324)-MAX(IFERROR(FIND({"省","市","区","县"},A324),0))-1+2)</f>
        <v>金山桥街道</v>
      </c>
      <c r="M324" s="4" t="str" cm="1">
        <f t="array" ref="M324">MID(A324,MAX(IFERROR(FIND({"省"},A324),0),IFERROR(FIND({"市"},A324),0),IFERROR(FIND({"区"},A324),0),IFERROR(FIND({"县"},A324),0))+1,FIND("街道",A324)-MAX(IFERROR(FIND({"省"},A324),0),IFERROR(FIND({"市"},A324),0),IFERROR(FIND({"区"},A324),0),IFERROR(FIND({"县"},A324),0))-1+2)</f>
        <v>金山桥街道</v>
      </c>
      <c r="O324" s="4" t="str" cm="1">
        <f t="array" ref="O324">_xlfn.LET(_xlpm.fullText,A324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324" s="4" t="str" cm="1">
        <f t="array" ref="Q324">_xlfn.LET(_xlpm.fullText,A324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325" ht="28.8" spans="1:17">
      <c r="A325" s="3" t="s">
        <v>160</v>
      </c>
      <c r="K325" s="4" t="str" cm="1">
        <f t="array" ref="K325">MID(A325,MAX(IFERROR(FIND({"省","市","区","县"},A325),0))+1,FIND("街道",A325)-MAX(IFERROR(FIND({"省","市","区","县"},A325),0))-1+2)</f>
        <v>金山桥街道</v>
      </c>
      <c r="M325" s="4" t="str" cm="1">
        <f t="array" ref="M325">MID(A325,MAX(IFERROR(FIND({"省"},A325),0),IFERROR(FIND({"市"},A325),0),IFERROR(FIND({"区"},A325),0),IFERROR(FIND({"县"},A325),0))+1,FIND("街道",A325)-MAX(IFERROR(FIND({"省"},A325),0),IFERROR(FIND({"市"},A325),0),IFERROR(FIND({"区"},A325),0),IFERROR(FIND({"县"},A325),0))-1+2)</f>
        <v>金山桥街道</v>
      </c>
      <c r="O325" s="4" t="str" cm="1">
        <f t="array" ref="O325">_xlfn.LET(_xlpm.fullText,A325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325" s="4" t="str" cm="1">
        <f t="array" ref="Q325">_xlfn.LET(_xlpm.fullText,A325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326" spans="1:17">
      <c r="A326" s="3" t="s">
        <v>54</v>
      </c>
      <c r="K326" s="4" t="str" cm="1">
        <f t="array" ref="K326">MID(A326,MAX(IFERROR(FIND({"省","市","区","县"},A326),0))+1,FIND("街道",A326)-MAX(IFERROR(FIND({"省","市","区","县"},A326),0))-1+2)</f>
        <v>东海街道</v>
      </c>
      <c r="M326" s="4" t="str" cm="1">
        <f t="array" ref="M326">MID(A326,MAX(IFERROR(FIND({"省"},A326),0),IFERROR(FIND({"市"},A326),0),IFERROR(FIND({"区"},A326),0),IFERROR(FIND({"县"},A326),0))+1,FIND("街道",A326)-MAX(IFERROR(FIND({"省"},A326),0),IFERROR(FIND({"市"},A326),0),IFERROR(FIND({"区"},A326),0),IFERROR(FIND({"县"},A326),0))-1+2)</f>
        <v>东海街道</v>
      </c>
      <c r="O326" s="4" t="str" cm="1">
        <f t="array" ref="O326">_xlfn.LET(_xlpm.fullText,A326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26" s="4" t="str" cm="1">
        <f t="array" ref="Q326">_xlfn.LET(_xlpm.fullText,A326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27" spans="1:17">
      <c r="A327" s="3" t="s">
        <v>161</v>
      </c>
      <c r="K327" s="4" t="str" cm="1">
        <f t="array" ref="K327">MID(A327,MAX(IFERROR(FIND({"省","市","区","县"},A327),0))+1,FIND("街道",A327)-MAX(IFERROR(FIND({"省","市","区","县"},A327),0))-1+2)</f>
        <v>湖里街道</v>
      </c>
      <c r="M327" s="4" t="str" cm="1">
        <f t="array" ref="M327">MID(A327,MAX(IFERROR(FIND({"省"},A327),0),IFERROR(FIND({"市"},A327),0),IFERROR(FIND({"区"},A327),0),IFERROR(FIND({"县"},A327),0))+1,FIND("街道",A327)-MAX(IFERROR(FIND({"省"},A327),0),IFERROR(FIND({"市"},A327),0),IFERROR(FIND({"区"},A327),0),IFERROR(FIND({"县"},A327),0))-1+2)</f>
        <v>湖里街道</v>
      </c>
      <c r="O327" s="4" t="str" cm="1">
        <f t="array" ref="O327">_xlfn.LET(_xlpm.fullText,A327,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327" s="4" t="str" cm="1">
        <f t="array" ref="Q327">_xlfn.LET(_xlpm.fullText,A327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28" spans="1:17">
      <c r="A328" s="3" t="s">
        <v>122</v>
      </c>
      <c r="K328" s="4" t="str" cm="1">
        <f t="array" ref="K328">MID(A328,MAX(IFERROR(FIND({"省","市","区","县"},A328),0))+1,FIND("街道",A328)-MAX(IFERROR(FIND({"省","市","区","县"},A328),0))-1+2)</f>
        <v>东海街道</v>
      </c>
      <c r="M328" s="4" t="str" cm="1">
        <f t="array" ref="M328">MID(A328,MAX(IFERROR(FIND({"省"},A328),0),IFERROR(FIND({"市"},A328),0),IFERROR(FIND({"区"},A328),0),IFERROR(FIND({"县"},A328),0))+1,FIND("街道",A328)-MAX(IFERROR(FIND({"省"},A328),0),IFERROR(FIND({"市"},A328),0),IFERROR(FIND({"区"},A328),0),IFERROR(FIND({"县"},A328),0))-1+2)</f>
        <v>东海街道</v>
      </c>
      <c r="O328" s="4" t="str" cm="1">
        <f t="array" ref="O328">_xlfn.LET(_xlpm.fullText,A328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28" s="4" t="str" cm="1">
        <f t="array" ref="Q328">_xlfn.LET(_xlpm.fullText,A328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29" spans="1:17">
      <c r="A329" s="3" t="s">
        <v>122</v>
      </c>
      <c r="K329" s="4" t="str" cm="1">
        <f t="array" ref="K329">MID(A329,MAX(IFERROR(FIND({"省","市","区","县"},A329),0))+1,FIND("街道",A329)-MAX(IFERROR(FIND({"省","市","区","县"},A329),0))-1+2)</f>
        <v>东海街道</v>
      </c>
      <c r="M329" s="4" t="str" cm="1">
        <f t="array" ref="M329">MID(A329,MAX(IFERROR(FIND({"省"},A329),0),IFERROR(FIND({"市"},A329),0),IFERROR(FIND({"区"},A329),0),IFERROR(FIND({"县"},A329),0))+1,FIND("街道",A329)-MAX(IFERROR(FIND({"省"},A329),0),IFERROR(FIND({"市"},A329),0),IFERROR(FIND({"区"},A329),0),IFERROR(FIND({"县"},A329),0))-1+2)</f>
        <v>东海街道</v>
      </c>
      <c r="O329" s="4" t="str" cm="1">
        <f t="array" ref="O329">_xlfn.LET(_xlpm.fullText,A329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29" s="4" t="str" cm="1">
        <f t="array" ref="Q329">_xlfn.LET(_xlpm.fullText,A329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30" spans="1:17">
      <c r="A330" s="3" t="s">
        <v>122</v>
      </c>
      <c r="K330" s="4" t="str" cm="1">
        <f t="array" ref="K330">MID(A330,MAX(IFERROR(FIND({"省","市","区","县"},A330),0))+1,FIND("街道",A330)-MAX(IFERROR(FIND({"省","市","区","县"},A330),0))-1+2)</f>
        <v>东海街道</v>
      </c>
      <c r="M330" s="4" t="str" cm="1">
        <f t="array" ref="M330">MID(A330,MAX(IFERROR(FIND({"省"},A330),0),IFERROR(FIND({"市"},A330),0),IFERROR(FIND({"区"},A330),0),IFERROR(FIND({"县"},A330),0))+1,FIND("街道",A330)-MAX(IFERROR(FIND({"省"},A330),0),IFERROR(FIND({"市"},A330),0),IFERROR(FIND({"区"},A330),0),IFERROR(FIND({"县"},A330),0))-1+2)</f>
        <v>东海街道</v>
      </c>
      <c r="O330" s="4" t="str" cm="1">
        <f t="array" ref="O330">_xlfn.LET(_xlpm.fullText,A330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30" s="4" t="str" cm="1">
        <f t="array" ref="Q330">_xlfn.LET(_xlpm.fullText,A330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31" spans="1:17">
      <c r="A331" s="3" t="s">
        <v>162</v>
      </c>
      <c r="K331" s="4" t="str" cm="1">
        <f t="array" ref="K331">MID(A331,MAX(IFERROR(FIND({"省","市","区","县"},A331),0))+1,FIND("街道",A331)-MAX(IFERROR(FIND({"省","市","区","县"},A331),0))-1+2)</f>
        <v>海沧街道</v>
      </c>
      <c r="M331" s="4" t="str" cm="1">
        <f t="array" ref="M331">MID(A331,MAX(IFERROR(FIND({"省"},A331),0),IFERROR(FIND({"市"},A331),0),IFERROR(FIND({"区"},A331),0),IFERROR(FIND({"县"},A331),0))+1,FIND("街道",A331)-MAX(IFERROR(FIND({"省"},A331),0),IFERROR(FIND({"市"},A331),0),IFERROR(FIND({"区"},A331),0),IFERROR(FIND({"县"},A331),0))-1+2)</f>
        <v>海沧街道</v>
      </c>
      <c r="O331" s="4" t="str" cm="1">
        <f t="array" ref="O331">_xlfn.LET(_xlpm.fullText,A331,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331" s="4" t="str" cm="1">
        <f t="array" ref="Q331">_xlfn.LET(_xlpm.fullText,A331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332" spans="1:17">
      <c r="A332" s="3" t="s">
        <v>162</v>
      </c>
      <c r="K332" s="4" t="str" cm="1">
        <f t="array" ref="K332">MID(A332,MAX(IFERROR(FIND({"省","市","区","县"},A332),0))+1,FIND("街道",A332)-MAX(IFERROR(FIND({"省","市","区","县"},A332),0))-1+2)</f>
        <v>海沧街道</v>
      </c>
      <c r="M332" s="4" t="str" cm="1">
        <f t="array" ref="M332">MID(A332,MAX(IFERROR(FIND({"省"},A332),0),IFERROR(FIND({"市"},A332),0),IFERROR(FIND({"区"},A332),0),IFERROR(FIND({"县"},A332),0))+1,FIND("街道",A332)-MAX(IFERROR(FIND({"省"},A332),0),IFERROR(FIND({"市"},A332),0),IFERROR(FIND({"区"},A332),0),IFERROR(FIND({"县"},A332),0))-1+2)</f>
        <v>海沧街道</v>
      </c>
      <c r="O332" s="4" t="str" cm="1">
        <f t="array" ref="O332">_xlfn.LET(_xlpm.fullText,A332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332" s="4" t="str" cm="1">
        <f t="array" ref="Q332">_xlfn.LET(_xlpm.fullText,A332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333" spans="1:17">
      <c r="A333" s="3" t="s">
        <v>163</v>
      </c>
      <c r="K333" s="4" t="str" cm="1">
        <f t="array" ref="K333">MID(A333,MAX(IFERROR(FIND({"省","市","区","县"},A333),0))+1,FIND("街道",A333)-MAX(IFERROR(FIND({"省","市","区","县"},A333),0))-1+2)</f>
        <v>北峰街道</v>
      </c>
      <c r="M333" s="4" t="str" cm="1">
        <f t="array" ref="M333">MID(A333,MAX(IFERROR(FIND({"省"},A333),0),IFERROR(FIND({"市"},A333),0),IFERROR(FIND({"区"},A333),0),IFERROR(FIND({"县"},A333),0))+1,FIND("街道",A333)-MAX(IFERROR(FIND({"省"},A333),0),IFERROR(FIND({"市"},A333),0),IFERROR(FIND({"区"},A333),0),IFERROR(FIND({"县"},A333),0))-1+2)</f>
        <v>北峰街道</v>
      </c>
      <c r="O333" s="4" t="str" cm="1">
        <f t="array" ref="O333">_xlfn.LET(_xlpm.fullText,A333,_xlpm.streetPos,FIND("街道",_xlpm.fullText)+2,_xlpm.prefixText,LEFT(_xlpm.fullText,_xlpm.streetPos-1),_xlpm.adminPos,MAX(IFERROR(FIND({"省","市","区","县"},_xlpm.prefixText),0)),IF(_xlpm.adminPos&gt;0,MID(_xlpm.prefixText,_xlpm.adminPos+1,_xlpm.streetPos-_xlpm.adminPos-3+2),LEFT(_xlpm.prefixText,FIND("街道",_xlpm.prefixText)-1+2)))</f>
        <v>北峰街道</v>
      </c>
      <c r="Q333" s="4" t="str" cm="1">
        <f t="array" ref="Q333">_xlfn.LET(_xlpm.fullText,A333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北峰街道</v>
      </c>
    </row>
    <row r="334" spans="1:17">
      <c r="A334" s="3" t="s">
        <v>122</v>
      </c>
      <c r="K334" s="4" t="str" cm="1">
        <f t="array" ref="K334">MID(A334,MAX(IFERROR(FIND({"省","市","区","县"},A334),0))+1,FIND("街道",A334)-MAX(IFERROR(FIND({"省","市","区","县"},A334),0))-1+2)</f>
        <v>东海街道</v>
      </c>
      <c r="M334" s="4" t="str" cm="1">
        <f t="array" ref="M334">MID(A334,MAX(IFERROR(FIND({"省"},A334),0),IFERROR(FIND({"市"},A334),0),IFERROR(FIND({"区"},A334),0),IFERROR(FIND({"县"},A334),0))+1,FIND("街道",A334)-MAX(IFERROR(FIND({"省"},A334),0),IFERROR(FIND({"市"},A334),0),IFERROR(FIND({"区"},A334),0),IFERROR(FIND({"县"},A334),0))-1+2)</f>
        <v>东海街道</v>
      </c>
      <c r="O334" s="4" t="str" cm="1">
        <f t="array" ref="O334">_xlfn.LET(_xlpm.fullText,A334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34" s="4" t="str" cm="1">
        <f t="array" ref="Q334">_xlfn.LET(_xlpm.fullText,A334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35" spans="1:17">
      <c r="A335" s="3" t="s">
        <v>122</v>
      </c>
      <c r="K335" s="4" t="str" cm="1">
        <f t="array" ref="K335">MID(A335,MAX(IFERROR(FIND({"省","市","区","县"},A335),0))+1,FIND("街道",A335)-MAX(IFERROR(FIND({"省","市","区","县"},A335),0))-1+2)</f>
        <v>东海街道</v>
      </c>
      <c r="M335" s="4" t="str" cm="1">
        <f t="array" ref="M335">MID(A335,MAX(IFERROR(FIND({"省"},A335),0),IFERROR(FIND({"市"},A335),0),IFERROR(FIND({"区"},A335),0),IFERROR(FIND({"县"},A335),0))+1,FIND("街道",A335)-MAX(IFERROR(FIND({"省"},A335),0),IFERROR(FIND({"市"},A335),0),IFERROR(FIND({"区"},A335),0),IFERROR(FIND({"县"},A335),0))-1+2)</f>
        <v>东海街道</v>
      </c>
      <c r="O335" s="4" t="str" cm="1">
        <f t="array" ref="O335">_xlfn.LET(_xlpm.fullText,A335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35" s="4" t="str" cm="1">
        <f t="array" ref="Q335">_xlfn.LET(_xlpm.fullText,A335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36" spans="1:17">
      <c r="A336" s="3" t="s">
        <v>122</v>
      </c>
      <c r="K336" s="4" t="str" cm="1">
        <f t="array" ref="K336">MID(A336,MAX(IFERROR(FIND({"省","市","区","县"},A336),0))+1,FIND("街道",A336)-MAX(IFERROR(FIND({"省","市","区","县"},A336),0))-1+2)</f>
        <v>东海街道</v>
      </c>
      <c r="M336" s="4" t="str" cm="1">
        <f t="array" ref="M336">MID(A336,MAX(IFERROR(FIND({"省"},A336),0),IFERROR(FIND({"市"},A336),0),IFERROR(FIND({"区"},A336),0),IFERROR(FIND({"县"},A336),0))+1,FIND("街道",A336)-MAX(IFERROR(FIND({"省"},A336),0),IFERROR(FIND({"市"},A336),0),IFERROR(FIND({"区"},A336),0),IFERROR(FIND({"县"},A336),0))-1+2)</f>
        <v>东海街道</v>
      </c>
      <c r="O336" s="4" t="str" cm="1">
        <f t="array" ref="O336">_xlfn.LET(_xlpm.fullText,A336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36" s="4" t="str" cm="1">
        <f t="array" ref="Q336">_xlfn.LET(_xlpm.fullText,A336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37" spans="1:17">
      <c r="A337" s="3" t="s">
        <v>164</v>
      </c>
      <c r="K337" s="4" t="str" cm="1">
        <f t="array" ref="K337">MID(A337,MAX(IFERROR(FIND({"省","市","区","县"},A337),0))+1,FIND("街道",A337)-MAX(IFERROR(FIND({"省","市","区","县"},A337),0))-1+2)</f>
        <v>海沧街道</v>
      </c>
      <c r="M337" s="4" t="str" cm="1">
        <f t="array" ref="M337">MID(A337,MAX(IFERROR(FIND({"省"},A337),0),IFERROR(FIND({"市"},A337),0),IFERROR(FIND({"区"},A337),0),IFERROR(FIND({"县"},A337),0))+1,FIND("街道",A337)-MAX(IFERROR(FIND({"省"},A337),0),IFERROR(FIND({"市"},A337),0),IFERROR(FIND({"区"},A337),0),IFERROR(FIND({"县"},A337),0))-1+2)</f>
        <v>海沧街道</v>
      </c>
      <c r="O337" s="4" t="str" cm="1">
        <f t="array" ref="O337">_xlfn.LET(_xlpm.fullText,A337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337" s="4" t="str" cm="1">
        <f t="array" ref="Q337">_xlfn.LET(_xlpm.fullText,A337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338" spans="1:17">
      <c r="A338" s="3" t="s">
        <v>165</v>
      </c>
      <c r="K338" s="4" t="str" cm="1">
        <f t="array" ref="K338">MID(A338,MAX(IFERROR(FIND({"省","市","区","县"},A338),0))+1,FIND("街道",A338)-MAX(IFERROR(FIND({"省","市","区","县"},A338),0))-1+2)</f>
        <v>海沧街道</v>
      </c>
      <c r="M338" s="4" t="str" cm="1">
        <f t="array" ref="M338">MID(A338,MAX(IFERROR(FIND({"省"},A338),0),IFERROR(FIND({"市"},A338),0),IFERROR(FIND({"区"},A338),0),IFERROR(FIND({"县"},A338),0))+1,FIND("街道",A338)-MAX(IFERROR(FIND({"省"},A338),0),IFERROR(FIND({"市"},A338),0),IFERROR(FIND({"区"},A338),0),IFERROR(FIND({"县"},A338),0))-1+2)</f>
        <v>海沧街道</v>
      </c>
      <c r="O338" s="4" t="str" cm="1">
        <f t="array" ref="O338">_xlfn.LET(_xlpm.fullText,A338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338" s="4" t="str" cm="1">
        <f t="array" ref="Q338">_xlfn.LET(_xlpm.fullText,A338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339" spans="1:17">
      <c r="A339" s="3" t="s">
        <v>54</v>
      </c>
      <c r="K339" s="4" t="str" cm="1">
        <f t="array" ref="K339">MID(A339,MAX(IFERROR(FIND({"省","市","区","县"},A339),0))+1,FIND("街道",A339)-MAX(IFERROR(FIND({"省","市","区","县"},A339),0))-1+2)</f>
        <v>东海街道</v>
      </c>
      <c r="M339" s="4" t="str" cm="1">
        <f t="array" ref="M339">MID(A339,MAX(IFERROR(FIND({"省"},A339),0),IFERROR(FIND({"市"},A339),0),IFERROR(FIND({"区"},A339),0),IFERROR(FIND({"县"},A339),0))+1,FIND("街道",A339)-MAX(IFERROR(FIND({"省"},A339),0),IFERROR(FIND({"市"},A339),0),IFERROR(FIND({"区"},A339),0),IFERROR(FIND({"县"},A339),0))-1+2)</f>
        <v>东海街道</v>
      </c>
      <c r="O339" s="4" t="str" cm="1">
        <f t="array" ref="O339">_xlfn.LET(_xlpm.fullText,A339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39" s="4" t="str" cm="1">
        <f t="array" ref="Q339">_xlfn.LET(_xlpm.fullText,A339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0" spans="1:17">
      <c r="A340" s="3" t="s">
        <v>166</v>
      </c>
      <c r="K340" s="4" t="str" cm="1">
        <f t="array" ref="K340">MID(A340,MAX(IFERROR(FIND({"省","市","区","县"},A340),0))+1,FIND("街道",A340)-MAX(IFERROR(FIND({"省","市","区","县"},A340),0))-1+2)</f>
        <v>湖里街道</v>
      </c>
      <c r="M340" s="4" t="str" cm="1">
        <f t="array" ref="M340">MID(A340,MAX(IFERROR(FIND({"省"},A340),0),IFERROR(FIND({"市"},A340),0),IFERROR(FIND({"区"},A340),0),IFERROR(FIND({"县"},A340),0))+1,FIND("街道",A340)-MAX(IFERROR(FIND({"省"},A340),0),IFERROR(FIND({"市"},A340),0),IFERROR(FIND({"区"},A340),0),IFERROR(FIND({"县"},A340),0))-1+2)</f>
        <v>湖里街道</v>
      </c>
      <c r="O340" s="4" t="str" cm="1">
        <f t="array" ref="O340">_xlfn.LET(_xlpm.fullText,A340,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340" s="4" t="str" cm="1">
        <f t="array" ref="Q340">_xlfn.LET(_xlpm.fullText,A340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41" spans="1:17">
      <c r="A341" s="3" t="s">
        <v>54</v>
      </c>
      <c r="K341" s="4" t="str" cm="1">
        <f t="array" ref="K341">MID(A341,MAX(IFERROR(FIND({"省","市","区","县"},A341),0))+1,FIND("街道",A341)-MAX(IFERROR(FIND({"省","市","区","县"},A341),0))-1+2)</f>
        <v>东海街道</v>
      </c>
      <c r="M341" s="4" t="str" cm="1">
        <f t="array" ref="M341">MID(A341,MAX(IFERROR(FIND({"省"},A341),0),IFERROR(FIND({"市"},A341),0),IFERROR(FIND({"区"},A341),0),IFERROR(FIND({"县"},A341),0))+1,FIND("街道",A341)-MAX(IFERROR(FIND({"省"},A341),0),IFERROR(FIND({"市"},A341),0),IFERROR(FIND({"区"},A341),0),IFERROR(FIND({"县"},A341),0))-1+2)</f>
        <v>东海街道</v>
      </c>
      <c r="O341" s="4" t="str" cm="1">
        <f t="array" ref="O341">_xlfn.LET(_xlpm.fullText,A341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1" s="4" t="str" cm="1">
        <f t="array" ref="Q341">_xlfn.LET(_xlpm.fullText,A341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2" ht="28.8" spans="1:17">
      <c r="A342" s="3" t="s">
        <v>167</v>
      </c>
      <c r="K342" s="4" t="str" cm="1">
        <f t="array" ref="K342">MID(A342,MAX(IFERROR(FIND({"省","市","区","县"},A342),0))+1,FIND("街道",A342)-MAX(IFERROR(FIND({"省","市","区","县"},A342),0))-1+2)</f>
        <v>晋江市新塘街道</v>
      </c>
      <c r="M342" s="4" t="str" cm="1">
        <f t="array" ref="M342">MID(A342,MAX(IFERROR(FIND({"省"},A342),0),IFERROR(FIND({"市"},A342),0),IFERROR(FIND({"区"},A342),0),IFERROR(FIND({"县"},A342),0))+1,FIND("街道",A342)-MAX(IFERROR(FIND({"省"},A342),0),IFERROR(FIND({"市"},A342),0),IFERROR(FIND({"区"},A342),0),IFERROR(FIND({"县"},A342),0))-1+2)</f>
        <v>晋江市新塘街道</v>
      </c>
      <c r="O342" s="4" t="str" cm="1">
        <f t="array" ref="O342">_xlfn.LET(_xlpm.fullText,A342,_xlpm.streetPos,FIND("街道",_xlpm.fullText)+2,_xlpm.prefixText,LEFT(_xlpm.fullText,_xlpm.streetPos-1),_xlpm.adminPos,MAX(IFERROR(FIND({"省","市","区","县"},_xlpm.prefixText),0)),IF(_xlpm.adminPos&gt;0,MID(_xlpm.prefixText,_xlpm.adminPos+1,_xlpm.streetPos-_xlpm.adminPos-3+2),LEFT(_xlpm.prefixText,FIND("街道",_xlpm.prefixText)-1+2)))</f>
        <v>晋江市新塘街道</v>
      </c>
      <c r="Q342" s="4" t="str" cm="1">
        <f t="array" ref="Q342">_xlfn.LET(_xlpm.fullText,A342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新塘街道</v>
      </c>
    </row>
    <row r="343" spans="1:17">
      <c r="A343" s="3" t="s">
        <v>27</v>
      </c>
      <c r="K343" s="4" t="str" cm="1">
        <f t="array" ref="K343">MID(A343,MAX(IFERROR(FIND({"省","市","区","县"},A343),0))+1,FIND("街道",A343)-MAX(IFERROR(FIND({"省","市","区","县"},A343),0))-1+2)</f>
        <v>东海街道</v>
      </c>
      <c r="M343" s="4" t="str" cm="1">
        <f t="array" ref="M343">MID(A343,MAX(IFERROR(FIND({"省"},A343),0),IFERROR(FIND({"市"},A343),0),IFERROR(FIND({"区"},A343),0),IFERROR(FIND({"县"},A343),0))+1,FIND("街道",A343)-MAX(IFERROR(FIND({"省"},A343),0),IFERROR(FIND({"市"},A343),0),IFERROR(FIND({"区"},A343),0),IFERROR(FIND({"县"},A343),0))-1+2)</f>
        <v>东海街道</v>
      </c>
      <c r="O343" s="4" t="str" cm="1">
        <f t="array" ref="O343">_xlfn.LET(_xlpm.fullText,A343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3" s="4" t="str" cm="1">
        <f t="array" ref="Q343">_xlfn.LET(_xlpm.fullText,A343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4" spans="1:17">
      <c r="A344" s="3" t="s">
        <v>27</v>
      </c>
      <c r="K344" s="4" t="str" cm="1">
        <f t="array" ref="K344">MID(A344,MAX(IFERROR(FIND({"省","市","区","县"},A344),0))+1,FIND("街道",A344)-MAX(IFERROR(FIND({"省","市","区","县"},A344),0))-1+2)</f>
        <v>东海街道</v>
      </c>
      <c r="M344" s="4" t="str" cm="1">
        <f t="array" ref="M344">MID(A344,MAX(IFERROR(FIND({"省"},A344),0),IFERROR(FIND({"市"},A344),0),IFERROR(FIND({"区"},A344),0),IFERROR(FIND({"县"},A344),0))+1,FIND("街道",A344)-MAX(IFERROR(FIND({"省"},A344),0),IFERROR(FIND({"市"},A344),0),IFERROR(FIND({"区"},A344),0),IFERROR(FIND({"县"},A344),0))-1+2)</f>
        <v>东海街道</v>
      </c>
      <c r="O344" s="4" t="str" cm="1">
        <f t="array" ref="O344">_xlfn.LET(_xlpm.fullText,A344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4" s="4" t="str" cm="1">
        <f t="array" ref="Q344">_xlfn.LET(_xlpm.fullText,A344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5" spans="1:17">
      <c r="A345" s="3" t="s">
        <v>27</v>
      </c>
      <c r="K345" s="4" t="str" cm="1">
        <f t="array" ref="K345">MID(A345,MAX(IFERROR(FIND({"省","市","区","县"},A345),0))+1,FIND("街道",A345)-MAX(IFERROR(FIND({"省","市","区","县"},A345),0))-1+2)</f>
        <v>东海街道</v>
      </c>
      <c r="M345" s="4" t="str" cm="1">
        <f t="array" ref="M345">MID(A345,MAX(IFERROR(FIND({"省"},A345),0),IFERROR(FIND({"市"},A345),0),IFERROR(FIND({"区"},A345),0),IFERROR(FIND({"县"},A345),0))+1,FIND("街道",A345)-MAX(IFERROR(FIND({"省"},A345),0),IFERROR(FIND({"市"},A345),0),IFERROR(FIND({"区"},A345),0),IFERROR(FIND({"县"},A345),0))-1+2)</f>
        <v>东海街道</v>
      </c>
      <c r="O345" s="4" t="str" cm="1">
        <f t="array" ref="O345">_xlfn.LET(_xlpm.fullText,A345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5" s="4" t="str" cm="1">
        <f t="array" ref="Q345">_xlfn.LET(_xlpm.fullText,A345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6" ht="28.8" spans="1:17">
      <c r="A346" s="3" t="s">
        <v>168</v>
      </c>
      <c r="K346" s="4" t="str" cm="1">
        <f t="array" ref="K346">MID(A346,MAX(IFERROR(FIND({"省","市","区","县"},A346),0))+1,FIND("街道",A346)-MAX(IFERROR(FIND({"省","市","区","县"},A346),0))-1+2)</f>
        <v>永安市燕南街道</v>
      </c>
      <c r="M346" s="4" t="str" cm="1">
        <f t="array" ref="M346">MID(A346,MAX(IFERROR(FIND({"省"},A346),0),IFERROR(FIND({"市"},A346),0),IFERROR(FIND({"区"},A346),0),IFERROR(FIND({"县"},A346),0))+1,FIND("街道",A346)-MAX(IFERROR(FIND({"省"},A346),0),IFERROR(FIND({"市"},A346),0),IFERROR(FIND({"区"},A346),0),IFERROR(FIND({"县"},A346),0))-1+2)</f>
        <v>永安市燕南街道</v>
      </c>
      <c r="O346" s="4" t="str" cm="1">
        <f t="array" ref="O346">_xlfn.LET(_xlpm.fullText,A346,_xlpm.streetPos,FIND("街道",_xlpm.fullText)+2,_xlpm.prefixText,LEFT(_xlpm.fullText,_xlpm.streetPos-1),_xlpm.adminPos,MAX(IFERROR(FIND({"省","市","区","县"},_xlpm.prefixText),0)),IF(_xlpm.adminPos&gt;0,MID(_xlpm.prefixText,_xlpm.adminPos+1,_xlpm.streetPos-_xlpm.adminPos-3+2),LEFT(_xlpm.prefixText,FIND("街道",_xlpm.prefixText)-1+2)))</f>
        <v>永安市燕南街道</v>
      </c>
      <c r="Q346" s="4" t="str" cm="1">
        <f t="array" ref="Q346">_xlfn.LET(_xlpm.fullText,A346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燕南街道</v>
      </c>
    </row>
    <row r="347" spans="1:17">
      <c r="A347" s="3" t="s">
        <v>27</v>
      </c>
      <c r="K347" s="4" t="str" cm="1">
        <f t="array" ref="K347">MID(A347,MAX(IFERROR(FIND({"省","市","区","县"},A347),0))+1,FIND("街道",A347)-MAX(IFERROR(FIND({"省","市","区","县"},A347),0))-1+2)</f>
        <v>东海街道</v>
      </c>
      <c r="M347" s="4" t="str" cm="1">
        <f t="array" ref="M347">MID(A347,MAX(IFERROR(FIND({"省"},A347),0),IFERROR(FIND({"市"},A347),0),IFERROR(FIND({"区"},A347),0),IFERROR(FIND({"县"},A347),0))+1,FIND("街道",A347)-MAX(IFERROR(FIND({"省"},A347),0),IFERROR(FIND({"市"},A347),0),IFERROR(FIND({"区"},A347),0),IFERROR(FIND({"县"},A347),0))-1+2)</f>
        <v>东海街道</v>
      </c>
      <c r="O347" s="4" t="str" cm="1">
        <f t="array" ref="O347">_xlfn.LET(_xlpm.fullText,A347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7" s="4" t="str" cm="1">
        <f t="array" ref="Q347">_xlfn.LET(_xlpm.fullText,A347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8" spans="1:17">
      <c r="A348" s="3" t="s">
        <v>27</v>
      </c>
      <c r="K348" s="4" t="str" cm="1">
        <f t="array" ref="K348">MID(A348,MAX(IFERROR(FIND({"省","市","区","县"},A348),0))+1,FIND("街道",A348)-MAX(IFERROR(FIND({"省","市","区","县"},A348),0))-1+2)</f>
        <v>东海街道</v>
      </c>
      <c r="M348" s="4" t="str" cm="1">
        <f t="array" ref="M348">MID(A348,MAX(IFERROR(FIND({"省"},A348),0),IFERROR(FIND({"市"},A348),0),IFERROR(FIND({"区"},A348),0),IFERROR(FIND({"县"},A348),0))+1,FIND("街道",A348)-MAX(IFERROR(FIND({"省"},A348),0),IFERROR(FIND({"市"},A348),0),IFERROR(FIND({"区"},A348),0),IFERROR(FIND({"县"},A348),0))-1+2)</f>
        <v>东海街道</v>
      </c>
      <c r="O348" s="4" t="str" cm="1">
        <f t="array" ref="O348">_xlfn.LET(_xlpm.fullText,A348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8" s="4" t="str" cm="1">
        <f t="array" ref="Q348">_xlfn.LET(_xlpm.fullText,A348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49" spans="1:17">
      <c r="A349" s="3" t="s">
        <v>27</v>
      </c>
      <c r="K349" s="4" t="str" cm="1">
        <f t="array" ref="K349">MID(A349,MAX(IFERROR(FIND({"省","市","区","县"},A349),0))+1,FIND("街道",A349)-MAX(IFERROR(FIND({"省","市","区","县"},A349),0))-1+2)</f>
        <v>东海街道</v>
      </c>
      <c r="M349" s="4" t="str" cm="1">
        <f t="array" ref="M349">MID(A349,MAX(IFERROR(FIND({"省"},A349),0),IFERROR(FIND({"市"},A349),0),IFERROR(FIND({"区"},A349),0),IFERROR(FIND({"县"},A349),0))+1,FIND("街道",A349)-MAX(IFERROR(FIND({"省"},A349),0),IFERROR(FIND({"市"},A349),0),IFERROR(FIND({"区"},A349),0),IFERROR(FIND({"县"},A349),0))-1+2)</f>
        <v>东海街道</v>
      </c>
      <c r="O349" s="4" t="str" cm="1">
        <f t="array" ref="O349">_xlfn.LET(_xlpm.fullText,A349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49" s="4" t="str" cm="1">
        <f t="array" ref="Q349">_xlfn.LET(_xlpm.fullText,A349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0" spans="1:17">
      <c r="A350" s="3" t="s">
        <v>27</v>
      </c>
      <c r="K350" s="4" t="str" cm="1">
        <f t="array" ref="K350">MID(A350,MAX(IFERROR(FIND({"省","市","区","县"},A350),0))+1,FIND("街道",A350)-MAX(IFERROR(FIND({"省","市","区","县"},A350),0))-1+2)</f>
        <v>东海街道</v>
      </c>
      <c r="M350" s="4" t="str" cm="1">
        <f t="array" ref="M350">MID(A350,MAX(IFERROR(FIND({"省"},A350),0),IFERROR(FIND({"市"},A350),0),IFERROR(FIND({"区"},A350),0),IFERROR(FIND({"县"},A350),0))+1,FIND("街道",A350)-MAX(IFERROR(FIND({"省"},A350),0),IFERROR(FIND({"市"},A350),0),IFERROR(FIND({"区"},A350),0),IFERROR(FIND({"县"},A350),0))-1+2)</f>
        <v>东海街道</v>
      </c>
      <c r="O350" s="4" t="str" cm="1">
        <f t="array" ref="O350">_xlfn.LET(_xlpm.fullText,A350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50" s="4" t="str" cm="1">
        <f t="array" ref="Q350">_xlfn.LET(_xlpm.fullText,A350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1" spans="1:17">
      <c r="A351" s="3" t="s">
        <v>27</v>
      </c>
      <c r="K351" s="4" t="str" cm="1">
        <f t="array" ref="K351">MID(A351,MAX(IFERROR(FIND({"省","市","区","县"},A351),0))+1,FIND("街道",A351)-MAX(IFERROR(FIND({"省","市","区","县"},A351),0))-1+2)</f>
        <v>东海街道</v>
      </c>
      <c r="M351" s="4" t="str" cm="1">
        <f t="array" ref="M351">MID(A351,MAX(IFERROR(FIND({"省"},A351),0),IFERROR(FIND({"市"},A351),0),IFERROR(FIND({"区"},A351),0),IFERROR(FIND({"县"},A351),0))+1,FIND("街道",A351)-MAX(IFERROR(FIND({"省"},A351),0),IFERROR(FIND({"市"},A351),0),IFERROR(FIND({"区"},A351),0),IFERROR(FIND({"县"},A351),0))-1+2)</f>
        <v>东海街道</v>
      </c>
      <c r="O351" s="4" t="str" cm="1">
        <f t="array" ref="O351">_xlfn.LET(_xlpm.fullText,A351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51" s="4" t="str" cm="1">
        <f t="array" ref="Q351">_xlfn.LET(_xlpm.fullText,A351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2" spans="1:17">
      <c r="A352" s="3" t="s">
        <v>169</v>
      </c>
      <c r="K352" s="4" t="str" cm="1">
        <f t="array" ref="K352">MID(A352,MAX(IFERROR(FIND({"省","市","区","县"},A352),0))+1,FIND("街道",A352)-MAX(IFERROR(FIND({"省","市","区","县"},A352),0))-1+2)</f>
        <v>官陡街道</v>
      </c>
      <c r="M352" s="4" t="str" cm="1">
        <f t="array" ref="M352">MID(A352,MAX(IFERROR(FIND({"省"},A352),0),IFERROR(FIND({"市"},A352),0),IFERROR(FIND({"区"},A352),0),IFERROR(FIND({"县"},A352),0))+1,FIND("街道",A352)-MAX(IFERROR(FIND({"省"},A352),0),IFERROR(FIND({"市"},A352),0),IFERROR(FIND({"区"},A352),0),IFERROR(FIND({"县"},A352),0))-1+2)</f>
        <v>官陡街道</v>
      </c>
      <c r="O352" s="4" t="str" cm="1">
        <f t="array" ref="O352">_xlfn.LET(_xlpm.fullText,A352,_xlpm.streetPos,FIND("街道",_xlpm.fullText)+2,_xlpm.prefixText,LEFT(_xlpm.fullText,_xlpm.streetPos-1),_xlpm.adminPos,MAX(IFERROR(FIND({"省","市","区","县"},_xlpm.prefixText),0)),IF(_xlpm.adminPos&gt;0,MID(_xlpm.prefixText,_xlpm.adminPos+1,_xlpm.streetPos-_xlpm.adminPos-3+2),LEFT(_xlpm.prefixText,FIND("街道",_xlpm.prefixText)-1+2)))</f>
        <v>官陡街道</v>
      </c>
      <c r="Q352" s="4" t="str" cm="1">
        <f t="array" ref="Q352">_xlfn.LET(_xlpm.fullText,A352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官陡街道</v>
      </c>
    </row>
    <row r="353" spans="1:17">
      <c r="A353" s="3" t="s">
        <v>170</v>
      </c>
      <c r="K353" s="4" t="str" cm="1">
        <f t="array" ref="K353">MID(A353,MAX(IFERROR(FIND({"省","市","区","县"},A353),0))+1,FIND("街道",A353)-MAX(IFERROR(FIND({"省","市","区","县"},A353),0))-1+2)</f>
        <v>梅龙街道</v>
      </c>
      <c r="M353" s="4" t="str" cm="1">
        <f t="array" ref="M353">MID(A353,MAX(IFERROR(FIND({"省"},A353),0),IFERROR(FIND({"市"},A353),0),IFERROR(FIND({"区"},A353),0),IFERROR(FIND({"县"},A353),0))+1,FIND("街道",A353)-MAX(IFERROR(FIND({"省"},A353),0),IFERROR(FIND({"市"},A353),0),IFERROR(FIND({"区"},A353),0),IFERROR(FIND({"县"},A353),0))-1+2)</f>
        <v>梅龙街道</v>
      </c>
      <c r="O353" s="4" t="str" cm="1">
        <f t="array" ref="O353">_xlfn.LET(_xlpm.fullText,A353,_xlpm.streetPos,FIND("街道",_xlpm.fullText)+2,_xlpm.prefixText,LEFT(_xlpm.fullText,_xlpm.streetPos-1),_xlpm.adminPos,MAX(IFERROR(FIND({"省","市","区","县"},_xlpm.prefixText),0)),IF(_xlpm.adminPos&gt;0,MID(_xlpm.prefixText,_xlpm.adminPos+1,_xlpm.streetPos-_xlpm.adminPos-3+2),LEFT(_xlpm.prefixText,FIND("街道",_xlpm.prefixText)-1+2)))</f>
        <v>梅龙街道</v>
      </c>
      <c r="Q353" s="4" t="str" cm="1">
        <f t="array" ref="Q353">_xlfn.LET(_xlpm.fullText,A353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梅龙街道</v>
      </c>
    </row>
    <row r="354" spans="1:17">
      <c r="A354" s="3" t="s">
        <v>27</v>
      </c>
      <c r="K354" s="4" t="str" cm="1">
        <f t="array" ref="K354">MID(A354,MAX(IFERROR(FIND({"省","市","区","县"},A354),0))+1,FIND("街道",A354)-MAX(IFERROR(FIND({"省","市","区","县"},A354),0))-1+2)</f>
        <v>东海街道</v>
      </c>
      <c r="M354" s="4" t="str" cm="1">
        <f t="array" ref="M354">MID(A354,MAX(IFERROR(FIND({"省"},A354),0),IFERROR(FIND({"市"},A354),0),IFERROR(FIND({"区"},A354),0),IFERROR(FIND({"县"},A354),0))+1,FIND("街道",A354)-MAX(IFERROR(FIND({"省"},A354),0),IFERROR(FIND({"市"},A354),0),IFERROR(FIND({"区"},A354),0),IFERROR(FIND({"县"},A354),0))-1+2)</f>
        <v>东海街道</v>
      </c>
      <c r="O354" s="4" t="str" cm="1">
        <f t="array" ref="O354">_xlfn.LET(_xlpm.fullText,A354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54" s="4" t="str" cm="1">
        <f t="array" ref="Q354">_xlfn.LET(_xlpm.fullText,A354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5" spans="1:17">
      <c r="A355" s="3" t="s">
        <v>171</v>
      </c>
      <c r="K355" s="4" t="str" cm="1">
        <f t="array" ref="K355">MID(A355,MAX(IFERROR(FIND({"省","市","区","县"},A355),0))+1,FIND("街道",A355)-MAX(IFERROR(FIND({"省","市","区","县"},A355),0))-1+2)</f>
        <v>凤岗街道</v>
      </c>
      <c r="M355" s="4" t="str" cm="1">
        <f t="array" ref="M355">MID(A355,MAX(IFERROR(FIND({"省"},A355),0),IFERROR(FIND({"市"},A355),0),IFERROR(FIND({"区"},A355),0),IFERROR(FIND({"县"},A355),0))+1,FIND("街道",A355)-MAX(IFERROR(FIND({"省"},A355),0),IFERROR(FIND({"市"},A355),0),IFERROR(FIND({"区"},A355),0),IFERROR(FIND({"县"},A355),0))-1+2)</f>
        <v>凤岗街道</v>
      </c>
      <c r="O355" s="4" t="str" cm="1">
        <f t="array" ref="O355">_xlfn.LET(_xlpm.fullText,A355,_xlpm.streetPos,FIND("街道",_xlpm.fullText)+2,_xlpm.prefixText,LEFT(_xlpm.fullText,_xlpm.streetPos-1),_xlpm.adminPos,MAX(IFERROR(FIND({"省","市","区","县"},_xlpm.prefixText),0)),IF(_xlpm.adminPos&gt;0,MID(_xlpm.prefixText,_xlpm.adminPos+1,_xlpm.streetPos-_xlpm.adminPos-3+2),LEFT(_xlpm.prefixText,FIND("街道",_xlpm.prefixText)-1+2)))</f>
        <v>凤岗街道</v>
      </c>
      <c r="Q355" s="4" t="str" cm="1">
        <f t="array" ref="Q355">_xlfn.LET(_xlpm.fullText,A355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凤岗街道</v>
      </c>
    </row>
    <row r="356" spans="1:17">
      <c r="A356" s="3" t="s">
        <v>172</v>
      </c>
      <c r="K356" s="4" t="str" cm="1">
        <f t="array" ref="K356">MID(A356,MAX(IFERROR(FIND({"省","市","区","县"},A356),0))+1,FIND("街道",A356)-MAX(IFERROR(FIND({"省","市","区","县"},A356),0))-1+2)</f>
        <v>东孚街道</v>
      </c>
      <c r="M356" s="4" t="str" cm="1">
        <f t="array" ref="M356">MID(A356,MAX(IFERROR(FIND({"省"},A356),0),IFERROR(FIND({"市"},A356),0),IFERROR(FIND({"区"},A356),0),IFERROR(FIND({"县"},A356),0))+1,FIND("街道",A356)-MAX(IFERROR(FIND({"省"},A356),0),IFERROR(FIND({"市"},A356),0),IFERROR(FIND({"区"},A356),0),IFERROR(FIND({"县"},A356),0))-1+2)</f>
        <v>东孚街道</v>
      </c>
      <c r="O356" s="4" t="str" cm="1">
        <f t="array" ref="O356">_xlfn.LET(_xlpm.fullText,A356,_xlpm.streetPos,FIND("街道",_xlpm.fullText)+2,_xlpm.prefixText,LEFT(_xlpm.fullText,_xlpm.streetPos-1),_xlpm.adminPos,MAX(IFERROR(FIND({"省","市","区","县"},_xlpm.prefixText),0)),IF(_xlpm.adminPos&gt;0,MID(_xlpm.prefixText,_xlpm.adminPos+1,_xlpm.streetPos-_xlpm.adminPos-3+2),LEFT(_xlpm.prefixText,FIND("街道",_xlpm.prefixText)-1+2)))</f>
        <v>东孚街道</v>
      </c>
      <c r="Q356" s="4" t="str" cm="1">
        <f t="array" ref="Q356">_xlfn.LET(_xlpm.fullText,A356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东孚街道</v>
      </c>
    </row>
    <row r="357" spans="1:17">
      <c r="A357" s="3" t="s">
        <v>27</v>
      </c>
      <c r="K357" s="4" t="str" cm="1">
        <f t="array" ref="K357">MID(A357,MAX(IFERROR(FIND({"省","市","区","县"},A357),0))+1,FIND("街道",A357)-MAX(IFERROR(FIND({"省","市","区","县"},A357),0))-1+2)</f>
        <v>东海街道</v>
      </c>
      <c r="M357" s="4" t="str" cm="1">
        <f t="array" ref="M357">MID(A357,MAX(IFERROR(FIND({"省"},A357),0),IFERROR(FIND({"市"},A357),0),IFERROR(FIND({"区"},A357),0),IFERROR(FIND({"县"},A357),0))+1,FIND("街道",A357)-MAX(IFERROR(FIND({"省"},A357),0),IFERROR(FIND({"市"},A357),0),IFERROR(FIND({"区"},A357),0),IFERROR(FIND({"县"},A357),0))-1+2)</f>
        <v>东海街道</v>
      </c>
      <c r="O357" s="4" t="str" cm="1">
        <f t="array" ref="O357">_xlfn.LET(_xlpm.fullText,A357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57" s="4" t="str" cm="1">
        <f t="array" ref="Q357">_xlfn.LET(_xlpm.fullText,A357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8" spans="1:17">
      <c r="A358" s="3" t="s">
        <v>27</v>
      </c>
      <c r="K358" s="4" t="str" cm="1">
        <f t="array" ref="K358">MID(A358,MAX(IFERROR(FIND({"省","市","区","县"},A358),0))+1,FIND("街道",A358)-MAX(IFERROR(FIND({"省","市","区","县"},A358),0))-1+2)</f>
        <v>东海街道</v>
      </c>
      <c r="M358" s="4" t="str" cm="1">
        <f t="array" ref="M358">MID(A358,MAX(IFERROR(FIND({"省"},A358),0),IFERROR(FIND({"市"},A358),0),IFERROR(FIND({"区"},A358),0),IFERROR(FIND({"县"},A358),0))+1,FIND("街道",A358)-MAX(IFERROR(FIND({"省"},A358),0),IFERROR(FIND({"市"},A358),0),IFERROR(FIND({"区"},A358),0),IFERROR(FIND({"县"},A358),0))-1+2)</f>
        <v>东海街道</v>
      </c>
      <c r="O358" s="4" t="str" cm="1">
        <f t="array" ref="O358">_xlfn.LET(_xlpm.fullText,A358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58" s="4" t="str" cm="1">
        <f t="array" ref="Q358">_xlfn.LET(_xlpm.fullText,A358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59" spans="1:17">
      <c r="A359" s="3" t="s">
        <v>27</v>
      </c>
      <c r="K359" s="4" t="str" cm="1">
        <f t="array" ref="K359">MID(A359,MAX(IFERROR(FIND({"省","市","区","县"},A359),0))+1,FIND("街道",A359)-MAX(IFERROR(FIND({"省","市","区","县"},A359),0))-1+2)</f>
        <v>东海街道</v>
      </c>
      <c r="M359" s="4" t="str" cm="1">
        <f t="array" ref="M359">MID(A359,MAX(IFERROR(FIND({"省"},A359),0),IFERROR(FIND({"市"},A359),0),IFERROR(FIND({"区"},A359),0),IFERROR(FIND({"县"},A359),0))+1,FIND("街道",A359)-MAX(IFERROR(FIND({"省"},A359),0),IFERROR(FIND({"市"},A359),0),IFERROR(FIND({"区"},A359),0),IFERROR(FIND({"县"},A359),0))-1+2)</f>
        <v>东海街道</v>
      </c>
      <c r="O359" s="4" t="str" cm="1">
        <f t="array" ref="O359">_xlfn.LET(_xlpm.fullText,A359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59" s="4" t="str" cm="1">
        <f t="array" ref="Q359">_xlfn.LET(_xlpm.fullText,A359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60" spans="1:17">
      <c r="A360" s="3" t="s">
        <v>173</v>
      </c>
      <c r="K360" s="4" t="str" cm="1">
        <f t="array" ref="K360">MID(A360,MAX(IFERROR(FIND({"省","市","区","县"},A360),0))+1,FIND("街道",A360)-MAX(IFERROR(FIND({"省","市","区","县"},A360),0))-1+2)</f>
        <v>湖里街道</v>
      </c>
      <c r="M360" s="4" t="str" cm="1">
        <f t="array" ref="M360">MID(A360,MAX(IFERROR(FIND({"省"},A360),0),IFERROR(FIND({"市"},A360),0),IFERROR(FIND({"区"},A360),0),IFERROR(FIND({"县"},A360),0))+1,FIND("街道",A360)-MAX(IFERROR(FIND({"省"},A360),0),IFERROR(FIND({"市"},A360),0),IFERROR(FIND({"区"},A360),0),IFERROR(FIND({"县"},A360),0))-1+2)</f>
        <v>湖里街道</v>
      </c>
      <c r="O360" s="4" t="str" cm="1">
        <f t="array" ref="O360">_xlfn.LET(_xlpm.fullText,A360,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360" s="4" t="str" cm="1">
        <f t="array" ref="Q360">_xlfn.LET(_xlpm.fullText,A360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361" spans="1:17">
      <c r="A361" s="3" t="s">
        <v>174</v>
      </c>
      <c r="K361" s="4" t="str" cm="1">
        <f t="array" ref="K361">MID(A361,MAX(IFERROR(FIND({"省","市","区","县"},A361),0))+1,FIND("街道",A361)-MAX(IFERROR(FIND({"省","市","区","县"},A361),0))-1+2)</f>
        <v>东海街道</v>
      </c>
      <c r="M361" s="4" t="str" cm="1">
        <f t="array" ref="M361">MID(A361,MAX(IFERROR(FIND({"省"},A361),0),IFERROR(FIND({"市"},A361),0),IFERROR(FIND({"区"},A361),0),IFERROR(FIND({"县"},A361),0))+1,FIND("街道",A361)-MAX(IFERROR(FIND({"省"},A361),0),IFERROR(FIND({"市"},A361),0),IFERROR(FIND({"区"},A361),0),IFERROR(FIND({"县"},A361),0))-1+2)</f>
        <v>东海街道</v>
      </c>
      <c r="O361" s="4" t="str" cm="1">
        <f t="array" ref="O361">_xlfn.LET(_xlpm.fullText,A361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61" s="4" t="str" cm="1">
        <f t="array" ref="Q361">_xlfn.LET(_xlpm.fullText,A361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62" spans="1:17">
      <c r="A362" s="3" t="s">
        <v>27</v>
      </c>
      <c r="K362" s="4" t="str" cm="1">
        <f t="array" ref="K362">MID(A362,MAX(IFERROR(FIND({"省","市","区","县"},A362),0))+1,FIND("街道",A362)-MAX(IFERROR(FIND({"省","市","区","县"},A362),0))-1+2)</f>
        <v>东海街道</v>
      </c>
      <c r="M362" s="4" t="str" cm="1">
        <f t="array" ref="M362">MID(A362,MAX(IFERROR(FIND({"省"},A362),0),IFERROR(FIND({"市"},A362),0),IFERROR(FIND({"区"},A362),0),IFERROR(FIND({"县"},A362),0))+1,FIND("街道",A362)-MAX(IFERROR(FIND({"省"},A362),0),IFERROR(FIND({"市"},A362),0),IFERROR(FIND({"区"},A362),0),IFERROR(FIND({"县"},A362),0))-1+2)</f>
        <v>东海街道</v>
      </c>
      <c r="O362" s="4" t="str" cm="1">
        <f t="array" ref="O362">_xlfn.LET(_xlpm.fullText,A362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62" s="4" t="str" cm="1">
        <f t="array" ref="Q362">_xlfn.LET(_xlpm.fullText,A362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63" spans="1:17">
      <c r="A363" s="3" t="s">
        <v>175</v>
      </c>
      <c r="K363" s="4" t="str" cm="1">
        <f t="array" ref="K363">MID(A363,MAX(IFERROR(FIND({"省","市","区","县"},A363),0))+1,FIND("街道",A363)-MAX(IFERROR(FIND({"省","市","区","县"},A363),0))-1+2)</f>
        <v>金山街道</v>
      </c>
      <c r="M363" s="4" t="str" cm="1">
        <f t="array" ref="M363">MID(A363,MAX(IFERROR(FIND({"省"},A363),0),IFERROR(FIND({"市"},A363),0),IFERROR(FIND({"区"},A363),0),IFERROR(FIND({"县"},A363),0))+1,FIND("街道",A363)-MAX(IFERROR(FIND({"省"},A363),0),IFERROR(FIND({"市"},A363),0),IFERROR(FIND({"区"},A363),0),IFERROR(FIND({"县"},A363),0))-1+2)</f>
        <v>金山街道</v>
      </c>
      <c r="O363" s="4" t="str" cm="1">
        <f t="array" ref="O363">_xlfn.LET(_xlpm.fullText,A363,_xlpm.streetPos,FIND("街道",_xlpm.fullText)+2,_xlpm.prefixText,LEFT(_xlpm.fullText,_xlpm.streetPos-1),_xlpm.adminPos,MAX(IFERROR(FIND({"省","市","区","县"},_xlpm.prefixText),0)),IF(_xlpm.adminPos&gt;0,MID(_xlpm.prefixText,_xlpm.adminPos+1,_xlpm.streetPos-_xlpm.adminPos-3+2),LEFT(_xlpm.prefixText,FIND("街道",_xlpm.prefixText)-1+2)))</f>
        <v>金山街道</v>
      </c>
      <c r="Q363" s="4" t="str" cm="1">
        <f t="array" ref="Q363">_xlfn.LET(_xlpm.fullText,A363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金山街道</v>
      </c>
    </row>
    <row r="364" spans="1:17">
      <c r="A364" s="3" t="s">
        <v>176</v>
      </c>
      <c r="K364" s="4" t="str" cm="1">
        <f t="array" ref="K364">MID(A364,MAX(IFERROR(FIND({"省","市","区","县"},A364),0))+1,FIND("街道",A364)-MAX(IFERROR(FIND({"省","市","区","县"},A364),0))-1+2)</f>
        <v>松陵街道</v>
      </c>
      <c r="M364" s="4" t="str" cm="1">
        <f t="array" ref="M364">MID(A364,MAX(IFERROR(FIND({"省"},A364),0),IFERROR(FIND({"市"},A364),0),IFERROR(FIND({"区"},A364),0),IFERROR(FIND({"县"},A364),0))+1,FIND("街道",A364)-MAX(IFERROR(FIND({"省"},A364),0),IFERROR(FIND({"市"},A364),0),IFERROR(FIND({"区"},A364),0),IFERROR(FIND({"县"},A364),0))-1+2)</f>
        <v>松陵街道</v>
      </c>
      <c r="O364" s="4" t="str" cm="1">
        <f t="array" ref="O364">_xlfn.LET(_xlpm.fullText,A364,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364" s="4" t="str" cm="1">
        <f t="array" ref="Q364">_xlfn.LET(_xlpm.fullText,A364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365" spans="1:17">
      <c r="A365" s="3" t="s">
        <v>177</v>
      </c>
      <c r="K365" s="4" t="str" cm="1">
        <f t="array" ref="K365">MID(A365,MAX(IFERROR(FIND({"省","市","区","县"},A365),0))+1,FIND("街道",A365)-MAX(IFERROR(FIND({"省","市","区","县"},A365),0))-1+2)</f>
        <v>兴东街道</v>
      </c>
      <c r="M365" s="4" t="str" cm="1">
        <f t="array" ref="M365">MID(A365,MAX(IFERROR(FIND({"省"},A365),0),IFERROR(FIND({"市"},A365),0),IFERROR(FIND({"区"},A365),0),IFERROR(FIND({"县"},A365),0))+1,FIND("街道",A365)-MAX(IFERROR(FIND({"省"},A365),0),IFERROR(FIND({"市"},A365),0),IFERROR(FIND({"区"},A365),0),IFERROR(FIND({"县"},A365),0))-1+2)</f>
        <v>兴东街道</v>
      </c>
      <c r="O365" s="4" t="str" cm="1">
        <f t="array" ref="O365">_xlfn.LET(_xlpm.fullText,A365,_xlpm.streetPos,FIND("街道",_xlpm.fullText)+2,_xlpm.prefixText,LEFT(_xlpm.fullText,_xlpm.streetPos-1),_xlpm.adminPos,MAX(IFERROR(FIND({"省","市","区","县"},_xlpm.prefixText),0)),IF(_xlpm.adminPos&gt;0,MID(_xlpm.prefixText,_xlpm.adminPos+1,_xlpm.streetPos-_xlpm.adminPos-3+2),LEFT(_xlpm.prefixText,FIND("街道",_xlpm.prefixText)-1+2)))</f>
        <v>兴东街道</v>
      </c>
      <c r="Q365" s="4" t="str" cm="1">
        <f t="array" ref="Q365">_xlfn.LET(_xlpm.fullText,A365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兴东街道</v>
      </c>
    </row>
    <row r="366" spans="1:17">
      <c r="A366" s="3" t="s">
        <v>54</v>
      </c>
      <c r="K366" s="4" t="str" cm="1">
        <f t="array" ref="K366">MID(A366,MAX(IFERROR(FIND({"省","市","区","县"},A366),0))+1,FIND("街道",A366)-MAX(IFERROR(FIND({"省","市","区","县"},A366),0))-1+2)</f>
        <v>东海街道</v>
      </c>
      <c r="M366" s="4" t="str" cm="1">
        <f t="array" ref="M366">MID(A366,MAX(IFERROR(FIND({"省"},A366),0),IFERROR(FIND({"市"},A366),0),IFERROR(FIND({"区"},A366),0),IFERROR(FIND({"县"},A366),0))+1,FIND("街道",A366)-MAX(IFERROR(FIND({"省"},A366),0),IFERROR(FIND({"市"},A366),0),IFERROR(FIND({"区"},A366),0),IFERROR(FIND({"县"},A366),0))-1+2)</f>
        <v>东海街道</v>
      </c>
      <c r="O366" s="4" t="str" cm="1">
        <f t="array" ref="O366">_xlfn.LET(_xlpm.fullText,A366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66" s="4" t="str" cm="1">
        <f t="array" ref="Q366">_xlfn.LET(_xlpm.fullText,A366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67" spans="1:17">
      <c r="A367" s="3" t="s">
        <v>178</v>
      </c>
      <c r="K367" s="4" t="str" cm="1">
        <f t="array" ref="K367">MID(A367,MAX(IFERROR(FIND({"省","市","区","县"},A367),0))+1,FIND("街道",A367)-MAX(IFERROR(FIND({"省","市","区","县"},A367),0))-1+2)</f>
        <v>大嶝街道</v>
      </c>
      <c r="M367" s="4" t="str" cm="1">
        <f t="array" ref="M367">MID(A367,MAX(IFERROR(FIND({"省"},A367),0),IFERROR(FIND({"市"},A367),0),IFERROR(FIND({"区"},A367),0),IFERROR(FIND({"县"},A367),0))+1,FIND("街道",A367)-MAX(IFERROR(FIND({"省"},A367),0),IFERROR(FIND({"市"},A367),0),IFERROR(FIND({"区"},A367),0),IFERROR(FIND({"县"},A367),0))-1+2)</f>
        <v>大嶝街道</v>
      </c>
      <c r="O367" s="4" t="str" cm="1">
        <f t="array" ref="O367">_xlfn.LET(_xlpm.fullText,A367,_xlpm.streetPos,FIND("街道",_xlpm.fullText)+2,_xlpm.prefixText,LEFT(_xlpm.fullText,_xlpm.streetPos-1),_xlpm.adminPos,MAX(IFERROR(FIND({"省","市","区","县"},_xlpm.prefixText),0)),IF(_xlpm.adminPos&gt;0,MID(_xlpm.prefixText,_xlpm.adminPos+1,_xlpm.streetPos-_xlpm.adminPos-3+2),LEFT(_xlpm.prefixText,FIND("街道",_xlpm.prefixText)-1+2)))</f>
        <v>大嶝街道</v>
      </c>
      <c r="Q367" s="4" t="str" cm="1">
        <f t="array" ref="Q367">_xlfn.LET(_xlpm.fullText,A367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大嶝街道</v>
      </c>
    </row>
    <row r="368" spans="1:17">
      <c r="A368" s="3" t="s">
        <v>27</v>
      </c>
      <c r="K368" s="4" t="str" cm="1">
        <f t="array" ref="K368">MID(A368,MAX(IFERROR(FIND({"省","市","区","县"},A368),0))+1,FIND("街道",A368)-MAX(IFERROR(FIND({"省","市","区","县"},A368),0))-1+2)</f>
        <v>东海街道</v>
      </c>
      <c r="M368" s="4" t="str" cm="1">
        <f t="array" ref="M368">MID(A368,MAX(IFERROR(FIND({"省"},A368),0),IFERROR(FIND({"市"},A368),0),IFERROR(FIND({"区"},A368),0),IFERROR(FIND({"县"},A368),0))+1,FIND("街道",A368)-MAX(IFERROR(FIND({"省"},A368),0),IFERROR(FIND({"市"},A368),0),IFERROR(FIND({"区"},A368),0),IFERROR(FIND({"县"},A368),0))-1+2)</f>
        <v>东海街道</v>
      </c>
      <c r="O368" s="4" t="str" cm="1">
        <f t="array" ref="O368">_xlfn.LET(_xlpm.fullText,A368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68" s="4" t="str" cm="1">
        <f t="array" ref="Q368">_xlfn.LET(_xlpm.fullText,A368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69" spans="1:17">
      <c r="A369" s="3" t="s">
        <v>27</v>
      </c>
      <c r="K369" s="4" t="str" cm="1">
        <f t="array" ref="K369">MID(A369,MAX(IFERROR(FIND({"省","市","区","县"},A369),0))+1,FIND("街道",A369)-MAX(IFERROR(FIND({"省","市","区","县"},A369),0))-1+2)</f>
        <v>东海街道</v>
      </c>
      <c r="M369" s="4" t="str" cm="1">
        <f t="array" ref="M369">MID(A369,MAX(IFERROR(FIND({"省"},A369),0),IFERROR(FIND({"市"},A369),0),IFERROR(FIND({"区"},A369),0),IFERROR(FIND({"县"},A369),0))+1,FIND("街道",A369)-MAX(IFERROR(FIND({"省"},A369),0),IFERROR(FIND({"市"},A369),0),IFERROR(FIND({"区"},A369),0),IFERROR(FIND({"县"},A369),0))-1+2)</f>
        <v>东海街道</v>
      </c>
      <c r="O369" s="4" t="str" cm="1">
        <f t="array" ref="O369">_xlfn.LET(_xlpm.fullText,A369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69" s="4" t="str" cm="1">
        <f t="array" ref="Q369">_xlfn.LET(_xlpm.fullText,A369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0" spans="1:17">
      <c r="A370" s="3" t="s">
        <v>179</v>
      </c>
      <c r="K370" s="4" t="str" cm="1">
        <f t="array" ref="K370">MID(A370,MAX(IFERROR(FIND({"省","市","区","县"},A370),0))+1,FIND("街道",A370)-MAX(IFERROR(FIND({"省","市","区","县"},A370),0))-1+2)</f>
        <v>海沧街道</v>
      </c>
      <c r="M370" s="4" t="str" cm="1">
        <f t="array" ref="M370">MID(A370,MAX(IFERROR(FIND({"省"},A370),0),IFERROR(FIND({"市"},A370),0),IFERROR(FIND({"区"},A370),0),IFERROR(FIND({"县"},A370),0))+1,FIND("街道",A370)-MAX(IFERROR(FIND({"省"},A370),0),IFERROR(FIND({"市"},A370),0),IFERROR(FIND({"区"},A370),0),IFERROR(FIND({"县"},A370),0))-1+2)</f>
        <v>海沧街道</v>
      </c>
      <c r="O370" s="4" t="str" cm="1">
        <f t="array" ref="O370">_xlfn.LET(_xlpm.fullText,A370,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370" s="4" t="str" cm="1">
        <f t="array" ref="Q370">_xlfn.LET(_xlpm.fullText,A370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371" spans="1:17">
      <c r="A371" s="3" t="s">
        <v>180</v>
      </c>
      <c r="K371" s="4" t="str" cm="1">
        <f t="array" ref="K371">MID(A371,MAX(IFERROR(FIND({"省","市","区","县"},A371),0))+1,FIND("街道",A371)-MAX(IFERROR(FIND({"省","市","区","县"},A371),0))-1+2)</f>
        <v>筼筜街道</v>
      </c>
      <c r="M371" s="4" t="str" cm="1">
        <f t="array" ref="M371">MID(A371,MAX(IFERROR(FIND({"省"},A371),0),IFERROR(FIND({"市"},A371),0),IFERROR(FIND({"区"},A371),0),IFERROR(FIND({"县"},A371),0))+1,FIND("街道",A371)-MAX(IFERROR(FIND({"省"},A371),0),IFERROR(FIND({"市"},A371),0),IFERROR(FIND({"区"},A371),0),IFERROR(FIND({"县"},A371),0))-1+2)</f>
        <v>筼筜街道</v>
      </c>
      <c r="O371" s="4" t="str" cm="1">
        <f t="array" ref="O371">_xlfn.LET(_xlpm.fullText,A371,_xlpm.streetPos,FIND("街道",_xlpm.fullText)+2,_xlpm.prefixText,LEFT(_xlpm.fullText,_xlpm.streetPos-1),_xlpm.adminPos,MAX(IFERROR(FIND({"省","市","区","县"},_xlpm.prefixText),0)),IF(_xlpm.adminPos&gt;0,MID(_xlpm.prefixText,_xlpm.adminPos+1,_xlpm.streetPos-_xlpm.adminPos-3+2),LEFT(_xlpm.prefixText,FIND("街道",_xlpm.prefixText)-1+2)))</f>
        <v>筼筜街道</v>
      </c>
      <c r="Q371" s="4" t="str" cm="1">
        <f t="array" ref="Q371">_xlfn.LET(_xlpm.fullText,A371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筼筜街道</v>
      </c>
    </row>
    <row r="372" spans="1:17">
      <c r="A372" s="3" t="s">
        <v>127</v>
      </c>
      <c r="K372" s="4" t="str" cm="1">
        <f t="array" ref="K372">MID(A372,MAX(IFERROR(FIND({"省","市","区","县"},A372),0))+1,FIND("街道",A372)-MAX(IFERROR(FIND({"省","市","区","县"},A372),0))-1+2)</f>
        <v>东海街道</v>
      </c>
      <c r="M372" s="4" t="str" cm="1">
        <f t="array" ref="M372">MID(A372,MAX(IFERROR(FIND({"省"},A372),0),IFERROR(FIND({"市"},A372),0),IFERROR(FIND({"区"},A372),0),IFERROR(FIND({"县"},A372),0))+1,FIND("街道",A372)-MAX(IFERROR(FIND({"省"},A372),0),IFERROR(FIND({"市"},A372),0),IFERROR(FIND({"区"},A372),0),IFERROR(FIND({"县"},A372),0))-1+2)</f>
        <v>东海街道</v>
      </c>
      <c r="O372" s="4" t="str" cm="1">
        <f t="array" ref="O372">_xlfn.LET(_xlpm.fullText,A372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2" s="4" t="str" cm="1">
        <f t="array" ref="Q372">_xlfn.LET(_xlpm.fullText,A372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3" ht="28.8" spans="1:17">
      <c r="A373" s="3" t="s">
        <v>111</v>
      </c>
      <c r="K373" s="4" t="str" cm="1">
        <f t="array" ref="K373">MID(A373,MAX(IFERROR(FIND({"省","市","区","县"},A373),0))+1,FIND("街道",A373)-MAX(IFERROR(FIND({"省","市","区","县"},A373),0))-1+2)</f>
        <v>金山桥街道</v>
      </c>
      <c r="M373" s="4" t="str" cm="1">
        <f t="array" ref="M373">MID(A373,MAX(IFERROR(FIND({"省"},A373),0),IFERROR(FIND({"市"},A373),0),IFERROR(FIND({"区"},A373),0),IFERROR(FIND({"县"},A373),0))+1,FIND("街道",A373)-MAX(IFERROR(FIND({"省"},A373),0),IFERROR(FIND({"市"},A373),0),IFERROR(FIND({"区"},A373),0),IFERROR(FIND({"县"},A373),0))-1+2)</f>
        <v>金山桥街道</v>
      </c>
      <c r="O373" s="4" t="str" cm="1">
        <f t="array" ref="O373">_xlfn.LET(_xlpm.fullText,A373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373" s="4" t="str" cm="1">
        <f t="array" ref="Q373">_xlfn.LET(_xlpm.fullText,A373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374" spans="1:17">
      <c r="A374" s="3" t="s">
        <v>181</v>
      </c>
      <c r="K374" s="4" t="str" cm="1">
        <f t="array" ref="K374">MID(A374,MAX(IFERROR(FIND({"省","市","区","县"},A374),0))+1,FIND("街道",A374)-MAX(IFERROR(FIND({"省","市","区","县"},A374),0))-1+2)</f>
        <v>东海街道</v>
      </c>
      <c r="M374" s="4" t="str" cm="1">
        <f t="array" ref="M374">MID(A374,MAX(IFERROR(FIND({"省"},A374),0),IFERROR(FIND({"市"},A374),0),IFERROR(FIND({"区"},A374),0),IFERROR(FIND({"县"},A374),0))+1,FIND("街道",A374)-MAX(IFERROR(FIND({"省"},A374),0),IFERROR(FIND({"市"},A374),0),IFERROR(FIND({"区"},A374),0),IFERROR(FIND({"县"},A374),0))-1+2)</f>
        <v>东海街道</v>
      </c>
      <c r="O374" s="4" t="str" cm="1">
        <f t="array" ref="O374">_xlfn.LET(_xlpm.fullText,A374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4" s="4" t="str" cm="1">
        <f t="array" ref="Q374">_xlfn.LET(_xlpm.fullText,A374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5" spans="1:17">
      <c r="A375" s="3" t="s">
        <v>27</v>
      </c>
      <c r="K375" s="4" t="str" cm="1">
        <f t="array" ref="K375">MID(A375,MAX(IFERROR(FIND({"省","市","区","县"},A375),0))+1,FIND("街道",A375)-MAX(IFERROR(FIND({"省","市","区","县"},A375),0))-1+2)</f>
        <v>东海街道</v>
      </c>
      <c r="M375" s="4" t="str" cm="1">
        <f t="array" ref="M375">MID(A375,MAX(IFERROR(FIND({"省"},A375),0),IFERROR(FIND({"市"},A375),0),IFERROR(FIND({"区"},A375),0),IFERROR(FIND({"县"},A375),0))+1,FIND("街道",A375)-MAX(IFERROR(FIND({"省"},A375),0),IFERROR(FIND({"市"},A375),0),IFERROR(FIND({"区"},A375),0),IFERROR(FIND({"县"},A375),0))-1+2)</f>
        <v>东海街道</v>
      </c>
      <c r="O375" s="4" t="str" cm="1">
        <f t="array" ref="O375">_xlfn.LET(_xlpm.fullText,A375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5" s="4" t="str" cm="1">
        <f t="array" ref="Q375">_xlfn.LET(_xlpm.fullText,A375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6" spans="1:17">
      <c r="A376" s="3" t="s">
        <v>54</v>
      </c>
      <c r="K376" s="4" t="str" cm="1">
        <f t="array" ref="K376">MID(A376,MAX(IFERROR(FIND({"省","市","区","县"},A376),0))+1,FIND("街道",A376)-MAX(IFERROR(FIND({"省","市","区","县"},A376),0))-1+2)</f>
        <v>东海街道</v>
      </c>
      <c r="M376" s="4" t="str" cm="1">
        <f t="array" ref="M376">MID(A376,MAX(IFERROR(FIND({"省"},A376),0),IFERROR(FIND({"市"},A376),0),IFERROR(FIND({"区"},A376),0),IFERROR(FIND({"县"},A376),0))+1,FIND("街道",A376)-MAX(IFERROR(FIND({"省"},A376),0),IFERROR(FIND({"市"},A376),0),IFERROR(FIND({"区"},A376),0),IFERROR(FIND({"县"},A376),0))-1+2)</f>
        <v>东海街道</v>
      </c>
      <c r="O376" s="4" t="str" cm="1">
        <f t="array" ref="O376">_xlfn.LET(_xlpm.fullText,A376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6" s="4" t="str" cm="1">
        <f t="array" ref="Q376">_xlfn.LET(_xlpm.fullText,A376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7" spans="1:17">
      <c r="A377" s="3" t="s">
        <v>27</v>
      </c>
      <c r="K377" s="4" t="str" cm="1">
        <f t="array" ref="K377">MID(A377,MAX(IFERROR(FIND({"省","市","区","县"},A377),0))+1,FIND("街道",A377)-MAX(IFERROR(FIND({"省","市","区","县"},A377),0))-1+2)</f>
        <v>东海街道</v>
      </c>
      <c r="M377" s="4" t="str" cm="1">
        <f t="array" ref="M377">MID(A377,MAX(IFERROR(FIND({"省"},A377),0),IFERROR(FIND({"市"},A377),0),IFERROR(FIND({"区"},A377),0),IFERROR(FIND({"县"},A377),0))+1,FIND("街道",A377)-MAX(IFERROR(FIND({"省"},A377),0),IFERROR(FIND({"市"},A377),0),IFERROR(FIND({"区"},A377),0),IFERROR(FIND({"县"},A377),0))-1+2)</f>
        <v>东海街道</v>
      </c>
      <c r="O377" s="4" t="str" cm="1">
        <f t="array" ref="O377">_xlfn.LET(_xlpm.fullText,A377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7" s="4" t="str" cm="1">
        <f t="array" ref="Q377">_xlfn.LET(_xlpm.fullText,A377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8" spans="1:17">
      <c r="A378" s="3" t="s">
        <v>27</v>
      </c>
      <c r="K378" s="4" t="str" cm="1">
        <f t="array" ref="K378">MID(A378,MAX(IFERROR(FIND({"省","市","区","县"},A378),0))+1,FIND("街道",A378)-MAX(IFERROR(FIND({"省","市","区","县"},A378),0))-1+2)</f>
        <v>东海街道</v>
      </c>
      <c r="M378" s="4" t="str" cm="1">
        <f t="array" ref="M378">MID(A378,MAX(IFERROR(FIND({"省"},A378),0),IFERROR(FIND({"市"},A378),0),IFERROR(FIND({"区"},A378),0),IFERROR(FIND({"县"},A378),0))+1,FIND("街道",A378)-MAX(IFERROR(FIND({"省"},A378),0),IFERROR(FIND({"市"},A378),0),IFERROR(FIND({"区"},A378),0),IFERROR(FIND({"县"},A378),0))-1+2)</f>
        <v>东海街道</v>
      </c>
      <c r="O378" s="4" t="str" cm="1">
        <f t="array" ref="O378">_xlfn.LET(_xlpm.fullText,A378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8" s="4" t="str" cm="1">
        <f t="array" ref="Q378">_xlfn.LET(_xlpm.fullText,A378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79" spans="1:17">
      <c r="A379" s="3" t="s">
        <v>27</v>
      </c>
      <c r="K379" s="4" t="str" cm="1">
        <f t="array" ref="K379">MID(A379,MAX(IFERROR(FIND({"省","市","区","县"},A379),0))+1,FIND("街道",A379)-MAX(IFERROR(FIND({"省","市","区","县"},A379),0))-1+2)</f>
        <v>东海街道</v>
      </c>
      <c r="M379" s="4" t="str" cm="1">
        <f t="array" ref="M379">MID(A379,MAX(IFERROR(FIND({"省"},A379),0),IFERROR(FIND({"市"},A379),0),IFERROR(FIND({"区"},A379),0),IFERROR(FIND({"县"},A379),0))+1,FIND("街道",A379)-MAX(IFERROR(FIND({"省"},A379),0),IFERROR(FIND({"市"},A379),0),IFERROR(FIND({"区"},A379),0),IFERROR(FIND({"县"},A379),0))-1+2)</f>
        <v>东海街道</v>
      </c>
      <c r="O379" s="4" t="str" cm="1">
        <f t="array" ref="O379">_xlfn.LET(_xlpm.fullText,A379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79" s="4" t="str" cm="1">
        <f t="array" ref="Q379">_xlfn.LET(_xlpm.fullText,A379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80" spans="1:17">
      <c r="A380" s="3" t="s">
        <v>27</v>
      </c>
      <c r="K380" s="4" t="str" cm="1">
        <f t="array" ref="K380">MID(A380,MAX(IFERROR(FIND({"省","市","区","县"},A380),0))+1,FIND("街道",A380)-MAX(IFERROR(FIND({"省","市","区","县"},A380),0))-1+2)</f>
        <v>东海街道</v>
      </c>
      <c r="M380" s="4" t="str" cm="1">
        <f t="array" ref="M380">MID(A380,MAX(IFERROR(FIND({"省"},A380),0),IFERROR(FIND({"市"},A380),0),IFERROR(FIND({"区"},A380),0),IFERROR(FIND({"县"},A380),0))+1,FIND("街道",A380)-MAX(IFERROR(FIND({"省"},A380),0),IFERROR(FIND({"市"},A380),0),IFERROR(FIND({"区"},A380),0),IFERROR(FIND({"县"},A380),0))-1+2)</f>
        <v>东海街道</v>
      </c>
      <c r="O380" s="4" t="str" cm="1">
        <f t="array" ref="O380">_xlfn.LET(_xlpm.fullText,A380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80" s="4" t="str" cm="1">
        <f t="array" ref="Q380">_xlfn.LET(_xlpm.fullText,A380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81" ht="28.8" spans="1:17">
      <c r="A381" s="3" t="s">
        <v>182</v>
      </c>
      <c r="K381" s="4" t="str" cm="1">
        <f t="array" ref="K381">MID(A381,MAX(IFERROR(FIND({"省","市","区","县"},A381),0))+1,FIND("街道",A381)-MAX(IFERROR(FIND({"省","市","区","县"},A381),0))-1+2)</f>
        <v>玄武湖街道</v>
      </c>
      <c r="M381" s="4" t="str" cm="1">
        <f t="array" ref="M381">MID(A381,MAX(IFERROR(FIND({"省"},A381),0),IFERROR(FIND({"市"},A381),0),IFERROR(FIND({"区"},A381),0),IFERROR(FIND({"县"},A381),0))+1,FIND("街道",A381)-MAX(IFERROR(FIND({"省"},A381),0),IFERROR(FIND({"市"},A381),0),IFERROR(FIND({"区"},A381),0),IFERROR(FIND({"县"},A381),0))-1+2)</f>
        <v>玄武湖街道</v>
      </c>
      <c r="O381" s="4" t="str" cm="1">
        <f t="array" ref="O381">_xlfn.LET(_xlpm.fullText,A381,_xlpm.streetPos,FIND("街道",_xlpm.fullText)+2,_xlpm.prefixText,LEFT(_xlpm.fullText,_xlpm.streetPos-1),_xlpm.adminPos,MAX(IFERROR(FIND({"省","市","区","县"},_xlpm.prefixText),0)),IF(_xlpm.adminPos&gt;0,MID(_xlpm.prefixText,_xlpm.adminPos+1,_xlpm.streetPos-_xlpm.adminPos-3+2),LEFT(_xlpm.prefixText,FIND("街道",_xlpm.prefixText)-1+2)))</f>
        <v>玄武湖街道</v>
      </c>
      <c r="Q381" s="4" t="str" cm="1">
        <f t="array" ref="Q381">_xlfn.LET(_xlpm.fullText,A381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玄武湖街道</v>
      </c>
    </row>
    <row r="382" spans="1:17">
      <c r="A382" s="3" t="s">
        <v>183</v>
      </c>
      <c r="K382" s="4" t="str" cm="1">
        <f t="array" ref="K382">MID(A382,MAX(IFERROR(FIND({"省","市","区","县"},A382),0))+1,FIND("街道",A382)-MAX(IFERROR(FIND({"省","市","区","县"},A382),0))-1+2)</f>
        <v>松陵街道</v>
      </c>
      <c r="M382" s="4" t="str" cm="1">
        <f t="array" ref="M382">MID(A382,MAX(IFERROR(FIND({"省"},A382),0),IFERROR(FIND({"市"},A382),0),IFERROR(FIND({"区"},A382),0),IFERROR(FIND({"县"},A382),0))+1,FIND("街道",A382)-MAX(IFERROR(FIND({"省"},A382),0),IFERROR(FIND({"市"},A382),0),IFERROR(FIND({"区"},A382),0),IFERROR(FIND({"县"},A382),0))-1+2)</f>
        <v>松陵街道</v>
      </c>
      <c r="O382" s="4" t="str" cm="1">
        <f t="array" ref="O382">_xlfn.LET(_xlpm.fullText,A382,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382" s="4" t="str" cm="1">
        <f t="array" ref="Q382">_xlfn.LET(_xlpm.fullText,A382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383" spans="1:17">
      <c r="A383" s="3" t="s">
        <v>184</v>
      </c>
      <c r="K383" s="4" t="str" cm="1">
        <f t="array" ref="K383">MID(A383,MAX(IFERROR(FIND({"省","市","区","县"},A383),0))+1,FIND("街道",A383)-MAX(IFERROR(FIND({"省","市","区","县"},A383),0))-1+2)</f>
        <v>江陵街道</v>
      </c>
      <c r="M383" s="4" t="str" cm="1">
        <f t="array" ref="M383">MID(A383,MAX(IFERROR(FIND({"省"},A383),0),IFERROR(FIND({"市"},A383),0),IFERROR(FIND({"区"},A383),0),IFERROR(FIND({"县"},A383),0))+1,FIND("街道",A383)-MAX(IFERROR(FIND({"省"},A383),0),IFERROR(FIND({"市"},A383),0),IFERROR(FIND({"区"},A383),0),IFERROR(FIND({"县"},A383),0))-1+2)</f>
        <v>江陵街道</v>
      </c>
      <c r="O383" s="4" t="str" cm="1">
        <f t="array" ref="O383">_xlfn.LET(_xlpm.fullText,A383,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383" s="4" t="str" cm="1">
        <f t="array" ref="Q383">_xlfn.LET(_xlpm.fullText,A383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384" spans="1:17">
      <c r="A384" s="3" t="s">
        <v>27</v>
      </c>
      <c r="K384" s="4" t="str" cm="1">
        <f t="array" ref="K384">MID(A384,MAX(IFERROR(FIND({"省","市","区","县"},A384),0))+1,FIND("街道",A384)-MAX(IFERROR(FIND({"省","市","区","县"},A384),0))-1+2)</f>
        <v>东海街道</v>
      </c>
      <c r="M384" s="4" t="str" cm="1">
        <f t="array" ref="M384">MID(A384,MAX(IFERROR(FIND({"省"},A384),0),IFERROR(FIND({"市"},A384),0),IFERROR(FIND({"区"},A384),0),IFERROR(FIND({"县"},A384),0))+1,FIND("街道",A384)-MAX(IFERROR(FIND({"省"},A384),0),IFERROR(FIND({"市"},A384),0),IFERROR(FIND({"区"},A384),0),IFERROR(FIND({"县"},A384),0))-1+2)</f>
        <v>东海街道</v>
      </c>
      <c r="O384" s="4" t="str" cm="1">
        <f t="array" ref="O384">_xlfn.LET(_xlpm.fullText,A384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84" s="4" t="str" cm="1">
        <f t="array" ref="Q384">_xlfn.LET(_xlpm.fullText,A384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85" spans="1:17">
      <c r="A385" s="3" t="s">
        <v>179</v>
      </c>
      <c r="K385" s="4" t="str" cm="1">
        <f t="array" ref="K385">MID(A385,MAX(IFERROR(FIND({"省","市","区","县"},A385),0))+1,FIND("街道",A385)-MAX(IFERROR(FIND({"省","市","区","县"},A385),0))-1+2)</f>
        <v>海沧街道</v>
      </c>
      <c r="M385" s="4" t="str" cm="1">
        <f t="array" ref="M385">MID(A385,MAX(IFERROR(FIND({"省"},A385),0),IFERROR(FIND({"市"},A385),0),IFERROR(FIND({"区"},A385),0),IFERROR(FIND({"县"},A385),0))+1,FIND("街道",A385)-MAX(IFERROR(FIND({"省"},A385),0),IFERROR(FIND({"市"},A385),0),IFERROR(FIND({"区"},A385),0),IFERROR(FIND({"县"},A385),0))-1+2)</f>
        <v>海沧街道</v>
      </c>
      <c r="O385" s="4" t="str" cm="1">
        <f t="array" ref="O385">_xlfn.LET(_xlpm.fullText,A385,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385" s="4" t="str" cm="1">
        <f t="array" ref="Q385">_xlfn.LET(_xlpm.fullText,A385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386" spans="1:17">
      <c r="A386" s="3" t="s">
        <v>78</v>
      </c>
      <c r="K386" s="4" t="str" cm="1">
        <f t="array" ref="K386">MID(A386,MAX(IFERROR(FIND({"省","市","区","县"},A386),0))+1,FIND("街道",A386)-MAX(IFERROR(FIND({"省","市","区","县"},A386),0))-1+2)</f>
        <v>东海街道</v>
      </c>
      <c r="M386" s="4" t="str" cm="1">
        <f t="array" ref="M386">MID(A386,MAX(IFERROR(FIND({"省"},A386),0),IFERROR(FIND({"市"},A386),0),IFERROR(FIND({"区"},A386),0),IFERROR(FIND({"县"},A386),0))+1,FIND("街道",A386)-MAX(IFERROR(FIND({"省"},A386),0),IFERROR(FIND({"市"},A386),0),IFERROR(FIND({"区"},A386),0),IFERROR(FIND({"县"},A386),0))-1+2)</f>
        <v>东海街道</v>
      </c>
      <c r="O386" s="4" t="str" cm="1">
        <f t="array" ref="O386">_xlfn.LET(_xlpm.fullText,A386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86" s="4" t="str" cm="1">
        <f t="array" ref="Q386">_xlfn.LET(_xlpm.fullText,A386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87" ht="28.8" spans="1:17">
      <c r="A387" s="3" t="s">
        <v>185</v>
      </c>
      <c r="K387" s="4" t="str" cm="1">
        <f t="array" ref="K387">MID(A387,MAX(IFERROR(FIND({"省","市","区","县"},A387),0))+1,FIND("街道",A387)-MAX(IFERROR(FIND({"省","市","区","县"},A387),0))-1+2)</f>
        <v>福清市石竹街道</v>
      </c>
      <c r="M387" s="4" t="str" cm="1">
        <f t="array" ref="M387">MID(A387,MAX(IFERROR(FIND({"省"},A387),0),IFERROR(FIND({"市"},A387),0),IFERROR(FIND({"区"},A387),0),IFERROR(FIND({"县"},A387),0))+1,FIND("街道",A387)-MAX(IFERROR(FIND({"省"},A387),0),IFERROR(FIND({"市"},A387),0),IFERROR(FIND({"区"},A387),0),IFERROR(FIND({"县"},A387),0))-1+2)</f>
        <v>福清市石竹街道</v>
      </c>
      <c r="O387" s="4" t="str" cm="1">
        <f t="array" ref="O387">_xlfn.LET(_xlpm.fullText,A387,_xlpm.streetPos,FIND("街道",_xlpm.fullText)+2,_xlpm.prefixText,LEFT(_xlpm.fullText,_xlpm.streetPos-1),_xlpm.adminPos,MAX(IFERROR(FIND({"省","市","区","县"},_xlpm.prefixText),0)),IF(_xlpm.adminPos&gt;0,MID(_xlpm.prefixText,_xlpm.adminPos+1,_xlpm.streetPos-_xlpm.adminPos-3+2),LEFT(_xlpm.prefixText,FIND("街道",_xlpm.prefixText)-1+2)))</f>
        <v>福清市石竹街道</v>
      </c>
      <c r="Q387" s="4" t="str" cm="1">
        <f t="array" ref="Q387">_xlfn.LET(_xlpm.fullText,A387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石竹街道</v>
      </c>
    </row>
    <row r="388" spans="1:17">
      <c r="A388" s="3" t="s">
        <v>27</v>
      </c>
      <c r="K388" s="4" t="str" cm="1">
        <f t="array" ref="K388">MID(A388,MAX(IFERROR(FIND({"省","市","区","县"},A388),0))+1,FIND("街道",A388)-MAX(IFERROR(FIND({"省","市","区","县"},A388),0))-1+2)</f>
        <v>东海街道</v>
      </c>
      <c r="M388" s="4" t="str" cm="1">
        <f t="array" ref="M388">MID(A388,MAX(IFERROR(FIND({"省"},A388),0),IFERROR(FIND({"市"},A388),0),IFERROR(FIND({"区"},A388),0),IFERROR(FIND({"县"},A388),0))+1,FIND("街道",A388)-MAX(IFERROR(FIND({"省"},A388),0),IFERROR(FIND({"市"},A388),0),IFERROR(FIND({"区"},A388),0),IFERROR(FIND({"县"},A388),0))-1+2)</f>
        <v>东海街道</v>
      </c>
      <c r="O388" s="4" t="str" cm="1">
        <f t="array" ref="O388">_xlfn.LET(_xlpm.fullText,A388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88" s="4" t="str" cm="1">
        <f t="array" ref="Q388">_xlfn.LET(_xlpm.fullText,A388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89" spans="1:17">
      <c r="A389" s="3" t="s">
        <v>54</v>
      </c>
      <c r="K389" s="4" t="str" cm="1">
        <f t="array" ref="K389">MID(A389,MAX(IFERROR(FIND({"省","市","区","县"},A389),0))+1,FIND("街道",A389)-MAX(IFERROR(FIND({"省","市","区","县"},A389),0))-1+2)</f>
        <v>东海街道</v>
      </c>
      <c r="M389" s="4" t="str" cm="1">
        <f t="array" ref="M389">MID(A389,MAX(IFERROR(FIND({"省"},A389),0),IFERROR(FIND({"市"},A389),0),IFERROR(FIND({"区"},A389),0),IFERROR(FIND({"县"},A389),0))+1,FIND("街道",A389)-MAX(IFERROR(FIND({"省"},A389),0),IFERROR(FIND({"市"},A389),0),IFERROR(FIND({"区"},A389),0),IFERROR(FIND({"县"},A389),0))-1+2)</f>
        <v>东海街道</v>
      </c>
      <c r="O389" s="4" t="str" cm="1">
        <f t="array" ref="O389">_xlfn.LET(_xlpm.fullText,A389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89" s="4" t="str" cm="1">
        <f t="array" ref="Q389">_xlfn.LET(_xlpm.fullText,A389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0" spans="1:17">
      <c r="A390" s="3" t="s">
        <v>186</v>
      </c>
      <c r="K390" s="4" t="str" cm="1">
        <f t="array" ref="K390">MID(A390,MAX(IFERROR(FIND({"省","市","区","县"},A390),0))+1,FIND("街道",A390)-MAX(IFERROR(FIND({"省","市","区","县"},A390),0))-1+2)</f>
        <v>丰泽街道</v>
      </c>
      <c r="M390" s="4" t="str" cm="1">
        <f t="array" ref="M390">MID(A390,MAX(IFERROR(FIND({"省"},A390),0),IFERROR(FIND({"市"},A390),0),IFERROR(FIND({"区"},A390),0),IFERROR(FIND({"县"},A390),0))+1,FIND("街道",A390)-MAX(IFERROR(FIND({"省"},A390),0),IFERROR(FIND({"市"},A390),0),IFERROR(FIND({"区"},A390),0),IFERROR(FIND({"县"},A390),0))-1+2)</f>
        <v>丰泽街道</v>
      </c>
      <c r="O390" s="4" t="str" cm="1">
        <f t="array" ref="O390">_xlfn.LET(_xlpm.fullText,A390,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390" s="4" t="str" cm="1">
        <f t="array" ref="Q390">_xlfn.LET(_xlpm.fullText,A390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391" spans="1:17">
      <c r="A391" s="3" t="s">
        <v>27</v>
      </c>
      <c r="K391" s="4" t="str" cm="1">
        <f t="array" ref="K391">MID(A391,MAX(IFERROR(FIND({"省","市","区","县"},A391),0))+1,FIND("街道",A391)-MAX(IFERROR(FIND({"省","市","区","县"},A391),0))-1+2)</f>
        <v>东海街道</v>
      </c>
      <c r="M391" s="4" t="str" cm="1">
        <f t="array" ref="M391">MID(A391,MAX(IFERROR(FIND({"省"},A391),0),IFERROR(FIND({"市"},A391),0),IFERROR(FIND({"区"},A391),0),IFERROR(FIND({"县"},A391),0))+1,FIND("街道",A391)-MAX(IFERROR(FIND({"省"},A391),0),IFERROR(FIND({"市"},A391),0),IFERROR(FIND({"区"},A391),0),IFERROR(FIND({"县"},A391),0))-1+2)</f>
        <v>东海街道</v>
      </c>
      <c r="O391" s="4" t="str" cm="1">
        <f t="array" ref="O391">_xlfn.LET(_xlpm.fullText,A391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91" s="4" t="str" cm="1">
        <f t="array" ref="Q391">_xlfn.LET(_xlpm.fullText,A391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2" spans="1:17">
      <c r="A392" s="3" t="s">
        <v>27</v>
      </c>
      <c r="K392" s="4" t="str" cm="1">
        <f t="array" ref="K392">MID(A392,MAX(IFERROR(FIND({"省","市","区","县"},A392),0))+1,FIND("街道",A392)-MAX(IFERROR(FIND({"省","市","区","县"},A392),0))-1+2)</f>
        <v>东海街道</v>
      </c>
      <c r="M392" s="4" t="str" cm="1">
        <f t="array" ref="M392">MID(A392,MAX(IFERROR(FIND({"省"},A392),0),IFERROR(FIND({"市"},A392),0),IFERROR(FIND({"区"},A392),0),IFERROR(FIND({"县"},A392),0))+1,FIND("街道",A392)-MAX(IFERROR(FIND({"省"},A392),0),IFERROR(FIND({"市"},A392),0),IFERROR(FIND({"区"},A392),0),IFERROR(FIND({"县"},A392),0))-1+2)</f>
        <v>东海街道</v>
      </c>
      <c r="O392" s="4" t="str" cm="1">
        <f t="array" ref="O392">_xlfn.LET(_xlpm.fullText,A392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92" s="4" t="str" cm="1">
        <f t="array" ref="Q392">_xlfn.LET(_xlpm.fullText,A392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3" spans="1:17">
      <c r="A393" s="3" t="s">
        <v>187</v>
      </c>
      <c r="K393" s="4" t="str" cm="1">
        <f t="array" ref="K393">MID(A393,MAX(IFERROR(FIND({"省","市","区","县"},A393),0))+1,FIND("街道",A393)-MAX(IFERROR(FIND({"省","市","区","县"},A393),0))-1+2)</f>
        <v>洋中街道</v>
      </c>
      <c r="M393" s="4" t="str" cm="1">
        <f t="array" ref="M393">MID(A393,MAX(IFERROR(FIND({"省"},A393),0),IFERROR(FIND({"市"},A393),0),IFERROR(FIND({"区"},A393),0),IFERROR(FIND({"县"},A393),0))+1,FIND("街道",A393)-MAX(IFERROR(FIND({"省"},A393),0),IFERROR(FIND({"市"},A393),0),IFERROR(FIND({"区"},A393),0),IFERROR(FIND({"县"},A393),0))-1+2)</f>
        <v>洋中街道</v>
      </c>
      <c r="O393" s="4" t="str" cm="1">
        <f t="array" ref="O393">_xlfn.LET(_xlpm.fullText,A393,_xlpm.streetPos,FIND("街道",_xlpm.fullText)+2,_xlpm.prefixText,LEFT(_xlpm.fullText,_xlpm.streetPos-1),_xlpm.adminPos,MAX(IFERROR(FIND({"省","市","区","县"},_xlpm.prefixText),0)),IF(_xlpm.adminPos&gt;0,MID(_xlpm.prefixText,_xlpm.adminPos+1,_xlpm.streetPos-_xlpm.adminPos-3+2),LEFT(_xlpm.prefixText,FIND("街道",_xlpm.prefixText)-1+2)))</f>
        <v>洋中街道</v>
      </c>
      <c r="Q393" s="4" t="str" cm="1">
        <f t="array" ref="Q393">_xlfn.LET(_xlpm.fullText,A393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洋中街道</v>
      </c>
    </row>
    <row r="394" spans="1:17">
      <c r="A394" s="3" t="s">
        <v>27</v>
      </c>
      <c r="K394" s="4" t="str" cm="1">
        <f t="array" ref="K394">MID(A394,MAX(IFERROR(FIND({"省","市","区","县"},A394),0))+1,FIND("街道",A394)-MAX(IFERROR(FIND({"省","市","区","县"},A394),0))-1+2)</f>
        <v>东海街道</v>
      </c>
      <c r="M394" s="4" t="str" cm="1">
        <f t="array" ref="M394">MID(A394,MAX(IFERROR(FIND({"省"},A394),0),IFERROR(FIND({"市"},A394),0),IFERROR(FIND({"区"},A394),0),IFERROR(FIND({"县"},A394),0))+1,FIND("街道",A394)-MAX(IFERROR(FIND({"省"},A394),0),IFERROR(FIND({"市"},A394),0),IFERROR(FIND({"区"},A394),0),IFERROR(FIND({"县"},A394),0))-1+2)</f>
        <v>东海街道</v>
      </c>
      <c r="O394" s="4" t="str" cm="1">
        <f t="array" ref="O394">_xlfn.LET(_xlpm.fullText,A394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94" s="4" t="str" cm="1">
        <f t="array" ref="Q394">_xlfn.LET(_xlpm.fullText,A394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5" spans="1:17">
      <c r="A395" s="3" t="s">
        <v>27</v>
      </c>
      <c r="K395" s="4" t="str" cm="1">
        <f t="array" ref="K395">MID(A395,MAX(IFERROR(FIND({"省","市","区","县"},A395),0))+1,FIND("街道",A395)-MAX(IFERROR(FIND({"省","市","区","县"},A395),0))-1+2)</f>
        <v>东海街道</v>
      </c>
      <c r="M395" s="4" t="str" cm="1">
        <f t="array" ref="M395">MID(A395,MAX(IFERROR(FIND({"省"},A395),0),IFERROR(FIND({"市"},A395),0),IFERROR(FIND({"区"},A395),0),IFERROR(FIND({"县"},A395),0))+1,FIND("街道",A395)-MAX(IFERROR(FIND({"省"},A395),0),IFERROR(FIND({"市"},A395),0),IFERROR(FIND({"区"},A395),0),IFERROR(FIND({"县"},A395),0))-1+2)</f>
        <v>东海街道</v>
      </c>
      <c r="O395" s="4" t="str" cm="1">
        <f t="array" ref="O395">_xlfn.LET(_xlpm.fullText,A395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95" s="4" t="str" cm="1">
        <f t="array" ref="Q395">_xlfn.LET(_xlpm.fullText,A395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6" spans="1:17">
      <c r="A396" s="3" t="s">
        <v>183</v>
      </c>
      <c r="K396" s="4" t="str" cm="1">
        <f t="array" ref="K396">MID(A396,MAX(IFERROR(FIND({"省","市","区","县"},A396),0))+1,FIND("街道",A396)-MAX(IFERROR(FIND({"省","市","区","县"},A396),0))-1+2)</f>
        <v>松陵街道</v>
      </c>
      <c r="M396" s="4" t="str" cm="1">
        <f t="array" ref="M396">MID(A396,MAX(IFERROR(FIND({"省"},A396),0),IFERROR(FIND({"市"},A396),0),IFERROR(FIND({"区"},A396),0),IFERROR(FIND({"县"},A396),0))+1,FIND("街道",A396)-MAX(IFERROR(FIND({"省"},A396),0),IFERROR(FIND({"市"},A396),0),IFERROR(FIND({"区"},A396),0),IFERROR(FIND({"县"},A396),0))-1+2)</f>
        <v>松陵街道</v>
      </c>
      <c r="O396" s="4" t="str" cm="1">
        <f t="array" ref="O396">_xlfn.LET(_xlpm.fullText,A396,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396" s="4" t="str" cm="1">
        <f t="array" ref="Q396">_xlfn.LET(_xlpm.fullText,A396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397" ht="28.8" spans="1:17">
      <c r="A397" s="3" t="s">
        <v>188</v>
      </c>
      <c r="K397" s="4" t="str" cm="1">
        <f t="array" ref="K397">MID(A397,MAX(IFERROR(FIND({"省","市","区","县"},A397),0))+1,FIND("街道",A397)-MAX(IFERROR(FIND({"省","市","区","县"},A397),0))-1+2)</f>
        <v>程家桥街道</v>
      </c>
      <c r="M397" s="4" t="str" cm="1">
        <f t="array" ref="M397">MID(A397,MAX(IFERROR(FIND({"省"},A397),0),IFERROR(FIND({"市"},A397),0),IFERROR(FIND({"区"},A397),0),IFERROR(FIND({"县"},A397),0))+1,FIND("街道",A397)-MAX(IFERROR(FIND({"省"},A397),0),IFERROR(FIND({"市"},A397),0),IFERROR(FIND({"区"},A397),0),IFERROR(FIND({"县"},A397),0))-1+2)</f>
        <v>程家桥街道</v>
      </c>
      <c r="O397" s="4" t="str" cm="1">
        <f t="array" ref="O397">_xlfn.LET(_xlpm.fullText,A397,_xlpm.streetPos,FIND("街道",_xlpm.fullText)+2,_xlpm.prefixText,LEFT(_xlpm.fullText,_xlpm.streetPos-1),_xlpm.adminPos,MAX(IFERROR(FIND({"省","市","区","县"},_xlpm.prefixText),0)),IF(_xlpm.adminPos&gt;0,MID(_xlpm.prefixText,_xlpm.adminPos+1,_xlpm.streetPos-_xlpm.adminPos-3+2),LEFT(_xlpm.prefixText,FIND("街道",_xlpm.prefixText)-1+2)))</f>
        <v>程家桥街道</v>
      </c>
      <c r="Q397" s="4" t="str" cm="1">
        <f t="array" ref="Q397">_xlfn.LET(_xlpm.fullText,A397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程家桥街道</v>
      </c>
    </row>
    <row r="398" spans="1:17">
      <c r="A398" s="3" t="s">
        <v>27</v>
      </c>
      <c r="K398" s="4" t="str" cm="1">
        <f t="array" ref="K398">MID(A398,MAX(IFERROR(FIND({"省","市","区","县"},A398),0))+1,FIND("街道",A398)-MAX(IFERROR(FIND({"省","市","区","县"},A398),0))-1+2)</f>
        <v>东海街道</v>
      </c>
      <c r="M398" s="4" t="str" cm="1">
        <f t="array" ref="M398">MID(A398,MAX(IFERROR(FIND({"省"},A398),0),IFERROR(FIND({"市"},A398),0),IFERROR(FIND({"区"},A398),0),IFERROR(FIND({"县"},A398),0))+1,FIND("街道",A398)-MAX(IFERROR(FIND({"省"},A398),0),IFERROR(FIND({"市"},A398),0),IFERROR(FIND({"区"},A398),0),IFERROR(FIND({"县"},A398),0))-1+2)</f>
        <v>东海街道</v>
      </c>
      <c r="O398" s="4" t="str" cm="1">
        <f t="array" ref="O398">_xlfn.LET(_xlpm.fullText,A398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98" s="4" t="str" cm="1">
        <f t="array" ref="Q398">_xlfn.LET(_xlpm.fullText,A398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399" spans="1:17">
      <c r="A399" s="3" t="s">
        <v>27</v>
      </c>
      <c r="K399" s="4" t="str" cm="1">
        <f t="array" ref="K399">MID(A399,MAX(IFERROR(FIND({"省","市","区","县"},A399),0))+1,FIND("街道",A399)-MAX(IFERROR(FIND({"省","市","区","县"},A399),0))-1+2)</f>
        <v>东海街道</v>
      </c>
      <c r="M399" s="4" t="str" cm="1">
        <f t="array" ref="M399">MID(A399,MAX(IFERROR(FIND({"省"},A399),0),IFERROR(FIND({"市"},A399),0),IFERROR(FIND({"区"},A399),0),IFERROR(FIND({"县"},A399),0))+1,FIND("街道",A399)-MAX(IFERROR(FIND({"省"},A399),0),IFERROR(FIND({"市"},A399),0),IFERROR(FIND({"区"},A399),0),IFERROR(FIND({"县"},A399),0))-1+2)</f>
        <v>东海街道</v>
      </c>
      <c r="O399" s="4" t="str" cm="1">
        <f t="array" ref="O399">_xlfn.LET(_xlpm.fullText,A399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399" s="4" t="str" cm="1">
        <f t="array" ref="Q399">_xlfn.LET(_xlpm.fullText,A399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0" spans="1:17">
      <c r="A400" s="3" t="s">
        <v>54</v>
      </c>
      <c r="K400" s="4" t="str" cm="1">
        <f t="array" ref="K400">MID(A400,MAX(IFERROR(FIND({"省","市","区","县"},A400),0))+1,FIND("街道",A400)-MAX(IFERROR(FIND({"省","市","区","县"},A400),0))-1+2)</f>
        <v>东海街道</v>
      </c>
      <c r="M400" s="4" t="str" cm="1">
        <f t="array" ref="M400">MID(A400,MAX(IFERROR(FIND({"省"},A400),0),IFERROR(FIND({"市"},A400),0),IFERROR(FIND({"区"},A400),0),IFERROR(FIND({"县"},A400),0))+1,FIND("街道",A400)-MAX(IFERROR(FIND({"省"},A400),0),IFERROR(FIND({"市"},A400),0),IFERROR(FIND({"区"},A400),0),IFERROR(FIND({"县"},A400),0))-1+2)</f>
        <v>东海街道</v>
      </c>
      <c r="O400" s="4" t="str" cm="1">
        <f t="array" ref="O400">_xlfn.LET(_xlpm.fullText,A400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0" s="4" t="str" cm="1">
        <f t="array" ref="Q400">_xlfn.LET(_xlpm.fullText,A400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1" spans="1:17">
      <c r="A401" s="3" t="s">
        <v>27</v>
      </c>
      <c r="K401" s="4" t="str" cm="1">
        <f t="array" ref="K401">MID(A401,MAX(IFERROR(FIND({"省","市","区","县"},A401),0))+1,FIND("街道",A401)-MAX(IFERROR(FIND({"省","市","区","县"},A401),0))-1+2)</f>
        <v>东海街道</v>
      </c>
      <c r="M401" s="4" t="str" cm="1">
        <f t="array" ref="M401">MID(A401,MAX(IFERROR(FIND({"省"},A401),0),IFERROR(FIND({"市"},A401),0),IFERROR(FIND({"区"},A401),0),IFERROR(FIND({"县"},A401),0))+1,FIND("街道",A401)-MAX(IFERROR(FIND({"省"},A401),0),IFERROR(FIND({"市"},A401),0),IFERROR(FIND({"区"},A401),0),IFERROR(FIND({"县"},A401),0))-1+2)</f>
        <v>东海街道</v>
      </c>
      <c r="O401" s="4" t="str" cm="1">
        <f t="array" ref="O401">_xlfn.LET(_xlpm.fullText,A401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1" s="4" t="str" cm="1">
        <f t="array" ref="Q401">_xlfn.LET(_xlpm.fullText,A401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2" spans="1:17">
      <c r="A402" s="3" t="s">
        <v>54</v>
      </c>
      <c r="K402" s="4" t="str" cm="1">
        <f t="array" ref="K402">MID(A402,MAX(IFERROR(FIND({"省","市","区","县"},A402),0))+1,FIND("街道",A402)-MAX(IFERROR(FIND({"省","市","区","县"},A402),0))-1+2)</f>
        <v>东海街道</v>
      </c>
      <c r="M402" s="4" t="str" cm="1">
        <f t="array" ref="M402">MID(A402,MAX(IFERROR(FIND({"省"},A402),0),IFERROR(FIND({"市"},A402),0),IFERROR(FIND({"区"},A402),0),IFERROR(FIND({"县"},A402),0))+1,FIND("街道",A402)-MAX(IFERROR(FIND({"省"},A402),0),IFERROR(FIND({"市"},A402),0),IFERROR(FIND({"区"},A402),0),IFERROR(FIND({"县"},A402),0))-1+2)</f>
        <v>东海街道</v>
      </c>
      <c r="O402" s="4" t="str" cm="1">
        <f t="array" ref="O402">_xlfn.LET(_xlpm.fullText,A402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2" s="4" t="str" cm="1">
        <f t="array" ref="Q402">_xlfn.LET(_xlpm.fullText,A402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3" spans="1:17">
      <c r="A403" s="3" t="s">
        <v>189</v>
      </c>
      <c r="K403" s="4" t="str" cm="1">
        <f t="array" ref="K403">MID(A403,MAX(IFERROR(FIND({"省","市","区","县"},A403),0))+1,FIND("街道",A403)-MAX(IFERROR(FIND({"省","市","区","县"},A403),0))-1+2)</f>
        <v>江陵街道</v>
      </c>
      <c r="M403" s="4" t="str" cm="1">
        <f t="array" ref="M403">MID(A403,MAX(IFERROR(FIND({"省"},A403),0),IFERROR(FIND({"市"},A403),0),IFERROR(FIND({"区"},A403),0),IFERROR(FIND({"县"},A403),0))+1,FIND("街道",A403)-MAX(IFERROR(FIND({"省"},A403),0),IFERROR(FIND({"市"},A403),0),IFERROR(FIND({"区"},A403),0),IFERROR(FIND({"县"},A403),0))-1+2)</f>
        <v>江陵街道</v>
      </c>
      <c r="O403" s="4" t="str" cm="1">
        <f t="array" ref="O403">_xlfn.LET(_xlpm.fullText,A403,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403" s="4" t="str" cm="1">
        <f t="array" ref="Q403">_xlfn.LET(_xlpm.fullText,A403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404" ht="28.8" spans="1:17">
      <c r="A404" s="3" t="s">
        <v>190</v>
      </c>
      <c r="K404" s="4" t="str" cm="1">
        <f t="array" ref="K404">MID(A404,MAX(IFERROR(FIND({"省","市","区","县"},A404),0))+1,FIND("街道",A404)-MAX(IFERROR(FIND({"省","市","区","县"},A404),0))-1+2)</f>
        <v>晋江市青阳街道</v>
      </c>
      <c r="M404" s="4" t="str" cm="1">
        <f t="array" ref="M404">MID(A404,MAX(IFERROR(FIND({"省"},A404),0),IFERROR(FIND({"市"},A404),0),IFERROR(FIND({"区"},A404),0),IFERROR(FIND({"县"},A404),0))+1,FIND("街道",A404)-MAX(IFERROR(FIND({"省"},A404),0),IFERROR(FIND({"市"},A404),0),IFERROR(FIND({"区"},A404),0),IFERROR(FIND({"县"},A404),0))-1+2)</f>
        <v>晋江市青阳街道</v>
      </c>
      <c r="O404" s="4" t="str" cm="1">
        <f t="array" ref="O404">_xlfn.LET(_xlpm.fullText,A404,_xlpm.streetPos,FIND("街道",_xlpm.fullText)+2,_xlpm.prefixText,LEFT(_xlpm.fullText,_xlpm.streetPos-1),_xlpm.adminPos,MAX(IFERROR(FIND({"省","市","区","县"},_xlpm.prefixText),0)),IF(_xlpm.adminPos&gt;0,MID(_xlpm.prefixText,_xlpm.adminPos+1,_xlpm.streetPos-_xlpm.adminPos-3+2),LEFT(_xlpm.prefixText,FIND("街道",_xlpm.prefixText)-1+2)))</f>
        <v>晋江市青阳街道</v>
      </c>
      <c r="Q404" s="4" t="str" cm="1">
        <f t="array" ref="Q404">_xlfn.LET(_xlpm.fullText,A404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青阳街道</v>
      </c>
    </row>
    <row r="405" spans="1:17">
      <c r="A405" s="3" t="s">
        <v>191</v>
      </c>
      <c r="K405" s="4" t="str" cm="1">
        <f t="array" ref="K405">MID(A405,MAX(IFERROR(FIND({"省","市","区","县"},A405),0))+1,FIND("街道",A405)-MAX(IFERROR(FIND({"省","市","区","县"},A405),0))-1+2)</f>
        <v>清源街道</v>
      </c>
      <c r="M405" s="4" t="str" cm="1">
        <f t="array" ref="M405">MID(A405,MAX(IFERROR(FIND({"省"},A405),0),IFERROR(FIND({"市"},A405),0),IFERROR(FIND({"区"},A405),0),IFERROR(FIND({"县"},A405),0))+1,FIND("街道",A405)-MAX(IFERROR(FIND({"省"},A405),0),IFERROR(FIND({"市"},A405),0),IFERROR(FIND({"区"},A405),0),IFERROR(FIND({"县"},A405),0))-1+2)</f>
        <v>清源街道</v>
      </c>
      <c r="O405" s="4" t="str" cm="1">
        <f t="array" ref="O405">_xlfn.LET(_xlpm.fullText,A405,_xlpm.streetPos,FIND("街道",_xlpm.fullText)+2,_xlpm.prefixText,LEFT(_xlpm.fullText,_xlpm.streetPos-1),_xlpm.adminPos,MAX(IFERROR(FIND({"省","市","区","县"},_xlpm.prefixText),0)),IF(_xlpm.adminPos&gt;0,MID(_xlpm.prefixText,_xlpm.adminPos+1,_xlpm.streetPos-_xlpm.adminPos-3+2),LEFT(_xlpm.prefixText,FIND("街道",_xlpm.prefixText)-1+2)))</f>
        <v>清源街道</v>
      </c>
      <c r="Q405" s="4" t="str" cm="1">
        <f t="array" ref="Q405">_xlfn.LET(_xlpm.fullText,A405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清源街道</v>
      </c>
    </row>
    <row r="406" spans="1:17">
      <c r="A406" s="3" t="s">
        <v>192</v>
      </c>
      <c r="K406" s="4" t="str" cm="1">
        <f t="array" ref="K406">MID(A406,MAX(IFERROR(FIND({"省","市","区","县"},A406),0))+1,FIND("街道",A406)-MAX(IFERROR(FIND({"省","市","区","县"},A406),0))-1+2)</f>
        <v>东海街道</v>
      </c>
      <c r="M406" s="4" t="str" cm="1">
        <f t="array" ref="M406">MID(A406,MAX(IFERROR(FIND({"省"},A406),0),IFERROR(FIND({"市"},A406),0),IFERROR(FIND({"区"},A406),0),IFERROR(FIND({"县"},A406),0))+1,FIND("街道",A406)-MAX(IFERROR(FIND({"省"},A406),0),IFERROR(FIND({"市"},A406),0),IFERROR(FIND({"区"},A406),0),IFERROR(FIND({"县"},A406),0))-1+2)</f>
        <v>东海街道</v>
      </c>
      <c r="O406" s="4" t="str" cm="1">
        <f t="array" ref="O406">_xlfn.LET(_xlpm.fullText,A406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6" s="4" t="str" cm="1">
        <f t="array" ref="Q406">_xlfn.LET(_xlpm.fullText,A406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7" spans="1:17">
      <c r="A407" s="3" t="s">
        <v>27</v>
      </c>
      <c r="K407" s="4" t="str" cm="1">
        <f t="array" ref="K407">MID(A407,MAX(IFERROR(FIND({"省","市","区","县"},A407),0))+1,FIND("街道",A407)-MAX(IFERROR(FIND({"省","市","区","县"},A407),0))-1+2)</f>
        <v>东海街道</v>
      </c>
      <c r="M407" s="4" t="str" cm="1">
        <f t="array" ref="M407">MID(A407,MAX(IFERROR(FIND({"省"},A407),0),IFERROR(FIND({"市"},A407),0),IFERROR(FIND({"区"},A407),0),IFERROR(FIND({"县"},A407),0))+1,FIND("街道",A407)-MAX(IFERROR(FIND({"省"},A407),0),IFERROR(FIND({"市"},A407),0),IFERROR(FIND({"区"},A407),0),IFERROR(FIND({"县"},A407),0))-1+2)</f>
        <v>东海街道</v>
      </c>
      <c r="O407" s="4" t="str" cm="1">
        <f t="array" ref="O407">_xlfn.LET(_xlpm.fullText,A407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7" s="4" t="str" cm="1">
        <f t="array" ref="Q407">_xlfn.LET(_xlpm.fullText,A407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8" spans="1:17">
      <c r="A408" s="3" t="s">
        <v>27</v>
      </c>
      <c r="K408" s="4" t="str" cm="1">
        <f t="array" ref="K408">MID(A408,MAX(IFERROR(FIND({"省","市","区","县"},A408),0))+1,FIND("街道",A408)-MAX(IFERROR(FIND({"省","市","区","县"},A408),0))-1+2)</f>
        <v>东海街道</v>
      </c>
      <c r="M408" s="4" t="str" cm="1">
        <f t="array" ref="M408">MID(A408,MAX(IFERROR(FIND({"省"},A408),0),IFERROR(FIND({"市"},A408),0),IFERROR(FIND({"区"},A408),0),IFERROR(FIND({"县"},A408),0))+1,FIND("街道",A408)-MAX(IFERROR(FIND({"省"},A408),0),IFERROR(FIND({"市"},A408),0),IFERROR(FIND({"区"},A408),0),IFERROR(FIND({"县"},A408),0))-1+2)</f>
        <v>东海街道</v>
      </c>
      <c r="O408" s="4" t="str" cm="1">
        <f t="array" ref="O408">_xlfn.LET(_xlpm.fullText,A408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8" s="4" t="str" cm="1">
        <f t="array" ref="Q408">_xlfn.LET(_xlpm.fullText,A408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09" spans="1:17">
      <c r="A409" s="3" t="s">
        <v>193</v>
      </c>
      <c r="K409" s="4" t="str" cm="1">
        <f t="array" ref="K409">MID(A409,MAX(IFERROR(FIND({"省","市","区","县"},A409),0))+1,FIND("街道",A409)-MAX(IFERROR(FIND({"省","市","区","县"},A409),0))-1+2)</f>
        <v>东海街道</v>
      </c>
      <c r="M409" s="4" t="str" cm="1">
        <f t="array" ref="M409">MID(A409,MAX(IFERROR(FIND({"省"},A409),0),IFERROR(FIND({"市"},A409),0),IFERROR(FIND({"区"},A409),0),IFERROR(FIND({"县"},A409),0))+1,FIND("街道",A409)-MAX(IFERROR(FIND({"省"},A409),0),IFERROR(FIND({"市"},A409),0),IFERROR(FIND({"区"},A409),0),IFERROR(FIND({"县"},A409),0))-1+2)</f>
        <v>东海街道</v>
      </c>
      <c r="O409" s="4" t="str" cm="1">
        <f t="array" ref="O409">_xlfn.LET(_xlpm.fullText,A409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09" s="4" t="str" cm="1">
        <f t="array" ref="Q409">_xlfn.LET(_xlpm.fullText,A409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10" spans="1:17">
      <c r="A410" s="3" t="s">
        <v>194</v>
      </c>
      <c r="K410" s="4" t="str" cm="1">
        <f t="array" ref="K410">MID(A410,MAX(IFERROR(FIND({"省","市","区","县"},A410),0))+1,FIND("街道",A410)-MAX(IFERROR(FIND({"省","市","区","县"},A410),0))-1+2)</f>
        <v>金山街道</v>
      </c>
      <c r="M410" s="4" t="str" cm="1">
        <f t="array" ref="M410">MID(A410,MAX(IFERROR(FIND({"省"},A410),0),IFERROR(FIND({"市"},A410),0),IFERROR(FIND({"区"},A410),0),IFERROR(FIND({"县"},A410),0))+1,FIND("街道",A410)-MAX(IFERROR(FIND({"省"},A410),0),IFERROR(FIND({"市"},A410),0),IFERROR(FIND({"区"},A410),0),IFERROR(FIND({"县"},A410),0))-1+2)</f>
        <v>金山街道</v>
      </c>
      <c r="O410" s="4" t="str" cm="1">
        <f t="array" ref="O410">_xlfn.LET(_xlpm.fullText,A410,_xlpm.streetPos,FIND("街道",_xlpm.fullText)+2,_xlpm.prefixText,LEFT(_xlpm.fullText,_xlpm.streetPos-1),_xlpm.adminPos,MAX(IFERROR(FIND({"省","市","区","县"},_xlpm.prefixText),0)),IF(_xlpm.adminPos&gt;0,MID(_xlpm.prefixText,_xlpm.adminPos+1,_xlpm.streetPos-_xlpm.adminPos-3+2),LEFT(_xlpm.prefixText,FIND("街道",_xlpm.prefixText)-1+2)))</f>
        <v>金山街道</v>
      </c>
      <c r="Q410" s="4" t="str" cm="1">
        <f t="array" ref="Q410">_xlfn.LET(_xlpm.fullText,A410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金山街道</v>
      </c>
    </row>
    <row r="411" spans="1:17">
      <c r="A411" s="3" t="s">
        <v>195</v>
      </c>
      <c r="K411" s="4" t="str" cm="1">
        <f t="array" ref="K411">MID(A411,MAX(IFERROR(FIND({"省","市","区","县"},A411),0))+1,FIND("街道",A411)-MAX(IFERROR(FIND({"省","市","区","县"},A411),0))-1+2)</f>
        <v>海沧街道</v>
      </c>
      <c r="M411" s="4" t="str" cm="1">
        <f t="array" ref="M411">MID(A411,MAX(IFERROR(FIND({"省"},A411),0),IFERROR(FIND({"市"},A411),0),IFERROR(FIND({"区"},A411),0),IFERROR(FIND({"县"},A411),0))+1,FIND("街道",A411)-MAX(IFERROR(FIND({"省"},A411),0),IFERROR(FIND({"市"},A411),0),IFERROR(FIND({"区"},A411),0),IFERROR(FIND({"县"},A411),0))-1+2)</f>
        <v>海沧街道</v>
      </c>
      <c r="O411" s="4" t="str" cm="1">
        <f t="array" ref="O411">_xlfn.LET(_xlpm.fullText,A411,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11" s="4" t="str" cm="1">
        <f t="array" ref="Q411">_xlfn.LET(_xlpm.fullText,A411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12" spans="1:17">
      <c r="A412" s="3" t="s">
        <v>54</v>
      </c>
      <c r="K412" s="4" t="str" cm="1">
        <f t="array" ref="K412">MID(A412,MAX(IFERROR(FIND({"省","市","区","县"},A412),0))+1,FIND("街道",A412)-MAX(IFERROR(FIND({"省","市","区","县"},A412),0))-1+2)</f>
        <v>东海街道</v>
      </c>
      <c r="M412" s="4" t="str" cm="1">
        <f t="array" ref="M412">MID(A412,MAX(IFERROR(FIND({"省"},A412),0),IFERROR(FIND({"市"},A412),0),IFERROR(FIND({"区"},A412),0),IFERROR(FIND({"县"},A412),0))+1,FIND("街道",A412)-MAX(IFERROR(FIND({"省"},A412),0),IFERROR(FIND({"市"},A412),0),IFERROR(FIND({"区"},A412),0),IFERROR(FIND({"县"},A412),0))-1+2)</f>
        <v>东海街道</v>
      </c>
      <c r="O412" s="4" t="str" cm="1">
        <f t="array" ref="O412">_xlfn.LET(_xlpm.fullText,A412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12" s="4" t="str" cm="1">
        <f t="array" ref="Q412">_xlfn.LET(_xlpm.fullText,A412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13" spans="1:17">
      <c r="A413" s="3" t="s">
        <v>196</v>
      </c>
      <c r="K413" s="4" t="str" cm="1">
        <f t="array" ref="K413">MID(A413,MAX(IFERROR(FIND({"省","市","区","县"},A413),0))+1,FIND("街道",A413)-MAX(IFERROR(FIND({"省","市","区","县"},A413),0))-1+2)</f>
        <v>湖里街道</v>
      </c>
      <c r="M413" s="4" t="str" cm="1">
        <f t="array" ref="M413">MID(A413,MAX(IFERROR(FIND({"省"},A413),0),IFERROR(FIND({"市"},A413),0),IFERROR(FIND({"区"},A413),0),IFERROR(FIND({"县"},A413),0))+1,FIND("街道",A413)-MAX(IFERROR(FIND({"省"},A413),0),IFERROR(FIND({"市"},A413),0),IFERROR(FIND({"区"},A413),0),IFERROR(FIND({"县"},A413),0))-1+2)</f>
        <v>湖里街道</v>
      </c>
      <c r="O413" s="4" t="str" cm="1">
        <f t="array" ref="O413">_xlfn.LET(_xlpm.fullText,A413,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413" s="4" t="str" cm="1">
        <f t="array" ref="Q413">_xlfn.LET(_xlpm.fullText,A413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414" spans="1:17">
      <c r="A414" s="3" t="s">
        <v>197</v>
      </c>
      <c r="K414" s="4" t="str" cm="1">
        <f t="array" ref="K414">MID(A414,MAX(IFERROR(FIND({"省","市","区","县"},A414),0))+1,FIND("街道",A414)-MAX(IFERROR(FIND({"省","市","区","县"},A414),0))-1+2)</f>
        <v>东海街道</v>
      </c>
      <c r="M414" s="4" t="str" cm="1">
        <f t="array" ref="M414">MID(A414,MAX(IFERROR(FIND({"省"},A414),0),IFERROR(FIND({"市"},A414),0),IFERROR(FIND({"区"},A414),0),IFERROR(FIND({"县"},A414),0))+1,FIND("街道",A414)-MAX(IFERROR(FIND({"省"},A414),0),IFERROR(FIND({"市"},A414),0),IFERROR(FIND({"区"},A414),0),IFERROR(FIND({"县"},A414),0))-1+2)</f>
        <v>东海街道</v>
      </c>
      <c r="O414" s="4" t="str" cm="1">
        <f t="array" ref="O414">_xlfn.LET(_xlpm.fullText,A414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14" s="4" t="str" cm="1">
        <f t="array" ref="Q414">_xlfn.LET(_xlpm.fullText,A414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15" spans="1:17">
      <c r="A415" s="3" t="s">
        <v>198</v>
      </c>
      <c r="K415" s="4" t="str" cm="1">
        <f t="array" ref="K415">MID(A415,MAX(IFERROR(FIND({"省","市","区","县"},A415),0))+1,FIND("街道",A415)-MAX(IFERROR(FIND({"省","市","区","县"},A415),0))-1+2)</f>
        <v>海沧街道</v>
      </c>
      <c r="M415" s="4" t="str" cm="1">
        <f t="array" ref="M415">MID(A415,MAX(IFERROR(FIND({"省"},A415),0),IFERROR(FIND({"市"},A415),0),IFERROR(FIND({"区"},A415),0),IFERROR(FIND({"县"},A415),0))+1,FIND("街道",A415)-MAX(IFERROR(FIND({"省"},A415),0),IFERROR(FIND({"市"},A415),0),IFERROR(FIND({"区"},A415),0),IFERROR(FIND({"县"},A415),0))-1+2)</f>
        <v>海沧街道</v>
      </c>
      <c r="O415" s="4" t="str" cm="1">
        <f t="array" ref="O415">_xlfn.LET(_xlpm.fullText,A415,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15" s="4" t="str" cm="1">
        <f t="array" ref="Q415">_xlfn.LET(_xlpm.fullText,A415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16" spans="1:17">
      <c r="A416" s="3" t="s">
        <v>199</v>
      </c>
      <c r="K416" s="4" t="str" cm="1">
        <f t="array" ref="K416">MID(A416,MAX(IFERROR(FIND({"省","市","区","县"},A416),0))+1,FIND("街道",A416)-MAX(IFERROR(FIND({"省","市","区","县"},A416),0))-1+2)</f>
        <v>东海街道</v>
      </c>
      <c r="M416" s="4" t="str" cm="1">
        <f t="array" ref="M416">MID(A416,MAX(IFERROR(FIND({"省"},A416),0),IFERROR(FIND({"市"},A416),0),IFERROR(FIND({"区"},A416),0),IFERROR(FIND({"县"},A416),0))+1,FIND("街道",A416)-MAX(IFERROR(FIND({"省"},A416),0),IFERROR(FIND({"市"},A416),0),IFERROR(FIND({"区"},A416),0),IFERROR(FIND({"县"},A416),0))-1+2)</f>
        <v>东海街道</v>
      </c>
      <c r="O416" s="4" t="str" cm="1">
        <f t="array" ref="O416">_xlfn.LET(_xlpm.fullText,A416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16" s="4" t="str" cm="1">
        <f t="array" ref="Q416">_xlfn.LET(_xlpm.fullText,A416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17" spans="1:17">
      <c r="A417" s="3" t="s">
        <v>27</v>
      </c>
      <c r="K417" s="4" t="str" cm="1">
        <f t="array" ref="K417">MID(A417,MAX(IFERROR(FIND({"省","市","区","县"},A417),0))+1,FIND("街道",A417)-MAX(IFERROR(FIND({"省","市","区","县"},A417),0))-1+2)</f>
        <v>东海街道</v>
      </c>
      <c r="M417" s="4" t="str" cm="1">
        <f t="array" ref="M417">MID(A417,MAX(IFERROR(FIND({"省"},A417),0),IFERROR(FIND({"市"},A417),0),IFERROR(FIND({"区"},A417),0),IFERROR(FIND({"县"},A417),0))+1,FIND("街道",A417)-MAX(IFERROR(FIND({"省"},A417),0),IFERROR(FIND({"市"},A417),0),IFERROR(FIND({"区"},A417),0),IFERROR(FIND({"县"},A417),0))-1+2)</f>
        <v>东海街道</v>
      </c>
      <c r="O417" s="4" t="str" cm="1">
        <f t="array" ref="O417">_xlfn.LET(_xlpm.fullText,A417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17" s="4" t="str" cm="1">
        <f t="array" ref="Q417">_xlfn.LET(_xlpm.fullText,A417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18" spans="1:17">
      <c r="A418" s="3" t="s">
        <v>27</v>
      </c>
      <c r="K418" s="4" t="str" cm="1">
        <f t="array" ref="K418">MID(A418,MAX(IFERROR(FIND({"省","市","区","县"},A418),0))+1,FIND("街道",A418)-MAX(IFERROR(FIND({"省","市","区","县"},A418),0))-1+2)</f>
        <v>东海街道</v>
      </c>
      <c r="M418" s="4" t="str" cm="1">
        <f t="array" ref="M418">MID(A418,MAX(IFERROR(FIND({"省"},A418),0),IFERROR(FIND({"市"},A418),0),IFERROR(FIND({"区"},A418),0),IFERROR(FIND({"县"},A418),0))+1,FIND("街道",A418)-MAX(IFERROR(FIND({"省"},A418),0),IFERROR(FIND({"市"},A418),0),IFERROR(FIND({"区"},A418),0),IFERROR(FIND({"县"},A418),0))-1+2)</f>
        <v>东海街道</v>
      </c>
      <c r="O418" s="4" t="str" cm="1">
        <f t="array" ref="O418">_xlfn.LET(_xlpm.fullText,A418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18" s="4" t="str" cm="1">
        <f t="array" ref="Q418">_xlfn.LET(_xlpm.fullText,A418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19" spans="1:17">
      <c r="A419" s="3" t="s">
        <v>176</v>
      </c>
      <c r="K419" s="4" t="str" cm="1">
        <f t="array" ref="K419">MID(A419,MAX(IFERROR(FIND({"省","市","区","县"},A419),0))+1,FIND("街道",A419)-MAX(IFERROR(FIND({"省","市","区","县"},A419),0))-1+2)</f>
        <v>松陵街道</v>
      </c>
      <c r="M419" s="4" t="str" cm="1">
        <f t="array" ref="M419">MID(A419,MAX(IFERROR(FIND({"省"},A419),0),IFERROR(FIND({"市"},A419),0),IFERROR(FIND({"区"},A419),0),IFERROR(FIND({"县"},A419),0))+1,FIND("街道",A419)-MAX(IFERROR(FIND({"省"},A419),0),IFERROR(FIND({"市"},A419),0),IFERROR(FIND({"区"},A419),0),IFERROR(FIND({"县"},A419),0))-1+2)</f>
        <v>松陵街道</v>
      </c>
      <c r="O419" s="4" t="str" cm="1">
        <f t="array" ref="O419">_xlfn.LET(_xlpm.fullText,A419,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419" s="4" t="str" cm="1">
        <f t="array" ref="Q419">_xlfn.LET(_xlpm.fullText,A419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420" spans="1:17">
      <c r="A420" s="3" t="s">
        <v>27</v>
      </c>
      <c r="K420" s="4" t="str" cm="1">
        <f t="array" ref="K420">MID(A420,MAX(IFERROR(FIND({"省","市","区","县"},A420),0))+1,FIND("街道",A420)-MAX(IFERROR(FIND({"省","市","区","县"},A420),0))-1+2)</f>
        <v>东海街道</v>
      </c>
      <c r="M420" s="4" t="str" cm="1">
        <f t="array" ref="M420">MID(A420,MAX(IFERROR(FIND({"省"},A420),0),IFERROR(FIND({"市"},A420),0),IFERROR(FIND({"区"},A420),0),IFERROR(FIND({"县"},A420),0))+1,FIND("街道",A420)-MAX(IFERROR(FIND({"省"},A420),0),IFERROR(FIND({"市"},A420),0),IFERROR(FIND({"区"},A420),0),IFERROR(FIND({"县"},A420),0))-1+2)</f>
        <v>东海街道</v>
      </c>
      <c r="O420" s="4" t="str" cm="1">
        <f t="array" ref="O420">_xlfn.LET(_xlpm.fullText,A420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0" s="4" t="str" cm="1">
        <f t="array" ref="Q420">_xlfn.LET(_xlpm.fullText,A420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21" spans="1:17">
      <c r="A421" s="3" t="s">
        <v>200</v>
      </c>
      <c r="K421" s="4" t="str" cm="1">
        <f t="array" ref="K421">MID(A421,MAX(IFERROR(FIND({"省","市","区","县"},A421),0))+1,FIND("街道",A421)-MAX(IFERROR(FIND({"省","市","区","县"},A421),0))-1+2)</f>
        <v>城东街道</v>
      </c>
      <c r="M421" s="4" t="str" cm="1">
        <f t="array" ref="M421">MID(A421,MAX(IFERROR(FIND({"省"},A421),0),IFERROR(FIND({"市"},A421),0),IFERROR(FIND({"区"},A421),0),IFERROR(FIND({"县"},A421),0))+1,FIND("街道",A421)-MAX(IFERROR(FIND({"省"},A421),0),IFERROR(FIND({"市"},A421),0),IFERROR(FIND({"区"},A421),0),IFERROR(FIND({"县"},A421),0))-1+2)</f>
        <v>城东街道</v>
      </c>
      <c r="O421" s="4" t="str" cm="1">
        <f t="array" ref="O421">_xlfn.LET(_xlpm.fullText,A421,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421" s="4" t="str" cm="1">
        <f t="array" ref="Q421">_xlfn.LET(_xlpm.fullText,A421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422" spans="1:17">
      <c r="A422" s="3" t="s">
        <v>27</v>
      </c>
      <c r="K422" s="4" t="str" cm="1">
        <f t="array" ref="K422">MID(A422,MAX(IFERROR(FIND({"省","市","区","县"},A422),0))+1,FIND("街道",A422)-MAX(IFERROR(FIND({"省","市","区","县"},A422),0))-1+2)</f>
        <v>东海街道</v>
      </c>
      <c r="M422" s="4" t="str" cm="1">
        <f t="array" ref="M422">MID(A422,MAX(IFERROR(FIND({"省"},A422),0),IFERROR(FIND({"市"},A422),0),IFERROR(FIND({"区"},A422),0),IFERROR(FIND({"县"},A422),0))+1,FIND("街道",A422)-MAX(IFERROR(FIND({"省"},A422),0),IFERROR(FIND({"市"},A422),0),IFERROR(FIND({"区"},A422),0),IFERROR(FIND({"县"},A422),0))-1+2)</f>
        <v>东海街道</v>
      </c>
      <c r="O422" s="4" t="str" cm="1">
        <f t="array" ref="O422">_xlfn.LET(_xlpm.fullText,A422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2" s="4" t="str" cm="1">
        <f t="array" ref="Q422">_xlfn.LET(_xlpm.fullText,A422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23" spans="1:17">
      <c r="A423" s="3" t="s">
        <v>176</v>
      </c>
      <c r="K423" s="4" t="str" cm="1">
        <f t="array" ref="K423">MID(A423,MAX(IFERROR(FIND({"省","市","区","县"},A423),0))+1,FIND("街道",A423)-MAX(IFERROR(FIND({"省","市","区","县"},A423),0))-1+2)</f>
        <v>松陵街道</v>
      </c>
      <c r="M423" s="4" t="str" cm="1">
        <f t="array" ref="M423">MID(A423,MAX(IFERROR(FIND({"省"},A423),0),IFERROR(FIND({"市"},A423),0),IFERROR(FIND({"区"},A423),0),IFERROR(FIND({"县"},A423),0))+1,FIND("街道",A423)-MAX(IFERROR(FIND({"省"},A423),0),IFERROR(FIND({"市"},A423),0),IFERROR(FIND({"区"},A423),0),IFERROR(FIND({"县"},A423),0))-1+2)</f>
        <v>松陵街道</v>
      </c>
      <c r="O423" s="4" t="str" cm="1">
        <f t="array" ref="O423">_xlfn.LET(_xlpm.fullText,A423,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423" s="4" t="str" cm="1">
        <f t="array" ref="Q423">_xlfn.LET(_xlpm.fullText,A423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424" spans="1:17">
      <c r="A424" s="3" t="s">
        <v>27</v>
      </c>
      <c r="K424" s="4" t="str" cm="1">
        <f t="array" ref="K424">MID(A424,MAX(IFERROR(FIND({"省","市","区","县"},A424),0))+1,FIND("街道",A424)-MAX(IFERROR(FIND({"省","市","区","县"},A424),0))-1+2)</f>
        <v>东海街道</v>
      </c>
      <c r="M424" s="4" t="str" cm="1">
        <f t="array" ref="M424">MID(A424,MAX(IFERROR(FIND({"省"},A424),0),IFERROR(FIND({"市"},A424),0),IFERROR(FIND({"区"},A424),0),IFERROR(FIND({"县"},A424),0))+1,FIND("街道",A424)-MAX(IFERROR(FIND({"省"},A424),0),IFERROR(FIND({"市"},A424),0),IFERROR(FIND({"区"},A424),0),IFERROR(FIND({"县"},A424),0))-1+2)</f>
        <v>东海街道</v>
      </c>
      <c r="O424" s="4" t="str" cm="1">
        <f t="array" ref="O424">_xlfn.LET(_xlpm.fullText,A424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4" s="4" t="str" cm="1">
        <f t="array" ref="Q424">_xlfn.LET(_xlpm.fullText,A424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25" spans="1:17">
      <c r="A425" s="3" t="s">
        <v>27</v>
      </c>
      <c r="K425" s="4" t="str" cm="1">
        <f t="array" ref="K425">MID(A425,MAX(IFERROR(FIND({"省","市","区","县"},A425),0))+1,FIND("街道",A425)-MAX(IFERROR(FIND({"省","市","区","县"},A425),0))-1+2)</f>
        <v>东海街道</v>
      </c>
      <c r="M425" s="4" t="str" cm="1">
        <f t="array" ref="M425">MID(A425,MAX(IFERROR(FIND({"省"},A425),0),IFERROR(FIND({"市"},A425),0),IFERROR(FIND({"区"},A425),0),IFERROR(FIND({"县"},A425),0))+1,FIND("街道",A425)-MAX(IFERROR(FIND({"省"},A425),0),IFERROR(FIND({"市"},A425),0),IFERROR(FIND({"区"},A425),0),IFERROR(FIND({"县"},A425),0))-1+2)</f>
        <v>东海街道</v>
      </c>
      <c r="O425" s="4" t="str" cm="1">
        <f t="array" ref="O425">_xlfn.LET(_xlpm.fullText,A425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5" s="4" t="str" cm="1">
        <f t="array" ref="Q425">_xlfn.LET(_xlpm.fullText,A425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26" spans="1:17">
      <c r="A426" s="3" t="s">
        <v>27</v>
      </c>
      <c r="K426" s="4" t="str" cm="1">
        <f t="array" ref="K426">MID(A426,MAX(IFERROR(FIND({"省","市","区","县"},A426),0))+1,FIND("街道",A426)-MAX(IFERROR(FIND({"省","市","区","县"},A426),0))-1+2)</f>
        <v>东海街道</v>
      </c>
      <c r="M426" s="4" t="str" cm="1">
        <f t="array" ref="M426">MID(A426,MAX(IFERROR(FIND({"省"},A426),0),IFERROR(FIND({"市"},A426),0),IFERROR(FIND({"区"},A426),0),IFERROR(FIND({"县"},A426),0))+1,FIND("街道",A426)-MAX(IFERROR(FIND({"省"},A426),0),IFERROR(FIND({"市"},A426),0),IFERROR(FIND({"区"},A426),0),IFERROR(FIND({"县"},A426),0))-1+2)</f>
        <v>东海街道</v>
      </c>
      <c r="O426" s="4" t="str" cm="1">
        <f t="array" ref="O426">_xlfn.LET(_xlpm.fullText,A426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6" s="4" t="str" cm="1">
        <f t="array" ref="Q426">_xlfn.LET(_xlpm.fullText,A426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27" spans="1:17">
      <c r="A427" s="3" t="s">
        <v>27</v>
      </c>
      <c r="K427" s="4" t="str" cm="1">
        <f t="array" ref="K427">MID(A427,MAX(IFERROR(FIND({"省","市","区","县"},A427),0))+1,FIND("街道",A427)-MAX(IFERROR(FIND({"省","市","区","县"},A427),0))-1+2)</f>
        <v>东海街道</v>
      </c>
      <c r="M427" s="4" t="str" cm="1">
        <f t="array" ref="M427">MID(A427,MAX(IFERROR(FIND({"省"},A427),0),IFERROR(FIND({"市"},A427),0),IFERROR(FIND({"区"},A427),0),IFERROR(FIND({"县"},A427),0))+1,FIND("街道",A427)-MAX(IFERROR(FIND({"省"},A427),0),IFERROR(FIND({"市"},A427),0),IFERROR(FIND({"区"},A427),0),IFERROR(FIND({"县"},A427),0))-1+2)</f>
        <v>东海街道</v>
      </c>
      <c r="O427" s="4" t="str" cm="1">
        <f t="array" ref="O427">_xlfn.LET(_xlpm.fullText,A427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7" s="4" t="str" cm="1">
        <f t="array" ref="Q427">_xlfn.LET(_xlpm.fullText,A427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28" ht="28.8" spans="1:17">
      <c r="A428" s="3" t="s">
        <v>201</v>
      </c>
      <c r="K428" s="4" t="str" cm="1">
        <f t="array" ref="K428">MID(A428,MAX(IFERROR(FIND({"省","市","区","县"},A428),0))+1,FIND("街道",A428)-MAX(IFERROR(FIND({"省","市","区","县"},A428),0))-1+2)</f>
        <v>福清市龙山街道</v>
      </c>
      <c r="M428" s="4" t="str" cm="1">
        <f t="array" ref="M428">MID(A428,MAX(IFERROR(FIND({"省"},A428),0),IFERROR(FIND({"市"},A428),0),IFERROR(FIND({"区"},A428),0),IFERROR(FIND({"县"},A428),0))+1,FIND("街道",A428)-MAX(IFERROR(FIND({"省"},A428),0),IFERROR(FIND({"市"},A428),0),IFERROR(FIND({"区"},A428),0),IFERROR(FIND({"县"},A428),0))-1+2)</f>
        <v>福清市龙山街道</v>
      </c>
      <c r="O428" s="4" t="str" cm="1">
        <f t="array" ref="O428">_xlfn.LET(_xlpm.fullText,A428,_xlpm.streetPos,FIND("街道",_xlpm.fullText)+2,_xlpm.prefixText,LEFT(_xlpm.fullText,_xlpm.streetPos-1),_xlpm.adminPos,MAX(IFERROR(FIND({"省","市","区","县"},_xlpm.prefixText),0)),IF(_xlpm.adminPos&gt;0,MID(_xlpm.prefixText,_xlpm.adminPos+1,_xlpm.streetPos-_xlpm.adminPos-3+2),LEFT(_xlpm.prefixText,FIND("街道",_xlpm.prefixText)-1+2)))</f>
        <v>福清市龙山街道</v>
      </c>
      <c r="Q428" s="4" t="str" cm="1">
        <f t="array" ref="Q428">_xlfn.LET(_xlpm.fullText,A428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龙山街道</v>
      </c>
    </row>
    <row r="429" spans="1:17">
      <c r="A429" s="3" t="s">
        <v>202</v>
      </c>
      <c r="K429" s="4" t="str" cm="1">
        <f t="array" ref="K429">MID(A429,MAX(IFERROR(FIND({"省","市","区","县"},A429),0))+1,FIND("街道",A429)-MAX(IFERROR(FIND({"省","市","区","县"},A429),0))-1+2)</f>
        <v>东海街道</v>
      </c>
      <c r="M429" s="4" t="str" cm="1">
        <f t="array" ref="M429">MID(A429,MAX(IFERROR(FIND({"省"},A429),0),IFERROR(FIND({"市"},A429),0),IFERROR(FIND({"区"},A429),0),IFERROR(FIND({"县"},A429),0))+1,FIND("街道",A429)-MAX(IFERROR(FIND({"省"},A429),0),IFERROR(FIND({"市"},A429),0),IFERROR(FIND({"区"},A429),0),IFERROR(FIND({"县"},A429),0))-1+2)</f>
        <v>东海街道</v>
      </c>
      <c r="O429" s="4" t="str" cm="1">
        <f t="array" ref="O429">_xlfn.LET(_xlpm.fullText,A429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29" s="4" t="str" cm="1">
        <f t="array" ref="Q429">_xlfn.LET(_xlpm.fullText,A429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0" spans="1:17">
      <c r="A430" s="3" t="s">
        <v>27</v>
      </c>
      <c r="K430" s="4" t="str" cm="1">
        <f t="array" ref="K430">MID(A430,MAX(IFERROR(FIND({"省","市","区","县"},A430),0))+1,FIND("街道",A430)-MAX(IFERROR(FIND({"省","市","区","县"},A430),0))-1+2)</f>
        <v>东海街道</v>
      </c>
      <c r="M430" s="4" t="str" cm="1">
        <f t="array" ref="M430">MID(A430,MAX(IFERROR(FIND({"省"},A430),0),IFERROR(FIND({"市"},A430),0),IFERROR(FIND({"区"},A430),0),IFERROR(FIND({"县"},A430),0))+1,FIND("街道",A430)-MAX(IFERROR(FIND({"省"},A430),0),IFERROR(FIND({"市"},A430),0),IFERROR(FIND({"区"},A430),0),IFERROR(FIND({"县"},A430),0))-1+2)</f>
        <v>东海街道</v>
      </c>
      <c r="O430" s="4" t="str" cm="1">
        <f t="array" ref="O430">_xlfn.LET(_xlpm.fullText,A430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0" s="4" t="str" cm="1">
        <f t="array" ref="Q430">_xlfn.LET(_xlpm.fullText,A430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1" spans="1:17">
      <c r="A431" s="3" t="s">
        <v>27</v>
      </c>
      <c r="K431" s="4" t="str" cm="1">
        <f t="array" ref="K431">MID(A431,MAX(IFERROR(FIND({"省","市","区","县"},A431),0))+1,FIND("街道",A431)-MAX(IFERROR(FIND({"省","市","区","县"},A431),0))-1+2)</f>
        <v>东海街道</v>
      </c>
      <c r="M431" s="4" t="str" cm="1">
        <f t="array" ref="M431">MID(A431,MAX(IFERROR(FIND({"省"},A431),0),IFERROR(FIND({"市"},A431),0),IFERROR(FIND({"区"},A431),0),IFERROR(FIND({"县"},A431),0))+1,FIND("街道",A431)-MAX(IFERROR(FIND({"省"},A431),0),IFERROR(FIND({"市"},A431),0),IFERROR(FIND({"区"},A431),0),IFERROR(FIND({"县"},A431),0))-1+2)</f>
        <v>东海街道</v>
      </c>
      <c r="O431" s="4" t="str" cm="1">
        <f t="array" ref="O431">_xlfn.LET(_xlpm.fullText,A431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1" s="4" t="str" cm="1">
        <f t="array" ref="Q431">_xlfn.LET(_xlpm.fullText,A431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2" spans="1:17">
      <c r="A432" s="3" t="s">
        <v>27</v>
      </c>
      <c r="K432" s="4" t="str" cm="1">
        <f t="array" ref="K432">MID(A432,MAX(IFERROR(FIND({"省","市","区","县"},A432),0))+1,FIND("街道",A432)-MAX(IFERROR(FIND({"省","市","区","县"},A432),0))-1+2)</f>
        <v>东海街道</v>
      </c>
      <c r="M432" s="4" t="str" cm="1">
        <f t="array" ref="M432">MID(A432,MAX(IFERROR(FIND({"省"},A432),0),IFERROR(FIND({"市"},A432),0),IFERROR(FIND({"区"},A432),0),IFERROR(FIND({"县"},A432),0))+1,FIND("街道",A432)-MAX(IFERROR(FIND({"省"},A432),0),IFERROR(FIND({"市"},A432),0),IFERROR(FIND({"区"},A432),0),IFERROR(FIND({"县"},A432),0))-1+2)</f>
        <v>东海街道</v>
      </c>
      <c r="O432" s="4" t="str" cm="1">
        <f t="array" ref="O432">_xlfn.LET(_xlpm.fullText,A432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2" s="4" t="str" cm="1">
        <f t="array" ref="Q432">_xlfn.LET(_xlpm.fullText,A432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3" spans="1:17">
      <c r="A433" s="3" t="s">
        <v>27</v>
      </c>
      <c r="K433" s="4" t="str" cm="1">
        <f t="array" ref="K433">MID(A433,MAX(IFERROR(FIND({"省","市","区","县"},A433),0))+1,FIND("街道",A433)-MAX(IFERROR(FIND({"省","市","区","县"},A433),0))-1+2)</f>
        <v>东海街道</v>
      </c>
      <c r="M433" s="4" t="str" cm="1">
        <f t="array" ref="M433">MID(A433,MAX(IFERROR(FIND({"省"},A433),0),IFERROR(FIND({"市"},A433),0),IFERROR(FIND({"区"},A433),0),IFERROR(FIND({"县"},A433),0))+1,FIND("街道",A433)-MAX(IFERROR(FIND({"省"},A433),0),IFERROR(FIND({"市"},A433),0),IFERROR(FIND({"区"},A433),0),IFERROR(FIND({"县"},A433),0))-1+2)</f>
        <v>东海街道</v>
      </c>
      <c r="O433" s="4" t="str" cm="1">
        <f t="array" ref="O433">_xlfn.LET(_xlpm.fullText,A433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3" s="4" t="str" cm="1">
        <f t="array" ref="Q433">_xlfn.LET(_xlpm.fullText,A433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4" spans="1:17">
      <c r="A434" s="3" t="s">
        <v>203</v>
      </c>
      <c r="K434" s="4" t="str" cm="1">
        <f t="array" ref="K434">MID(A434,MAX(IFERROR(FIND({"省","市","区","县"},A434),0))+1,FIND("街道",A434)-MAX(IFERROR(FIND({"省","市","区","县"},A434),0))-1+2)</f>
        <v>丰泽街道</v>
      </c>
      <c r="M434" s="4" t="str" cm="1">
        <f t="array" ref="M434">MID(A434,MAX(IFERROR(FIND({"省"},A434),0),IFERROR(FIND({"市"},A434),0),IFERROR(FIND({"区"},A434),0),IFERROR(FIND({"县"},A434),0))+1,FIND("街道",A434)-MAX(IFERROR(FIND({"省"},A434),0),IFERROR(FIND({"市"},A434),0),IFERROR(FIND({"区"},A434),0),IFERROR(FIND({"县"},A434),0))-1+2)</f>
        <v>丰泽街道</v>
      </c>
      <c r="O434" s="4" t="str" cm="1">
        <f t="array" ref="O434">_xlfn.LET(_xlpm.fullText,A434,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434" s="4" t="str" cm="1">
        <f t="array" ref="Q434">_xlfn.LET(_xlpm.fullText,A434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435" spans="1:17">
      <c r="A435" s="3" t="s">
        <v>27</v>
      </c>
      <c r="K435" s="4" t="str" cm="1">
        <f t="array" ref="K435">MID(A435,MAX(IFERROR(FIND({"省","市","区","县"},A435),0))+1,FIND("街道",A435)-MAX(IFERROR(FIND({"省","市","区","县"},A435),0))-1+2)</f>
        <v>东海街道</v>
      </c>
      <c r="M435" s="4" t="str" cm="1">
        <f t="array" ref="M435">MID(A435,MAX(IFERROR(FIND({"省"},A435),0),IFERROR(FIND({"市"},A435),0),IFERROR(FIND({"区"},A435),0),IFERROR(FIND({"县"},A435),0))+1,FIND("街道",A435)-MAX(IFERROR(FIND({"省"},A435),0),IFERROR(FIND({"市"},A435),0),IFERROR(FIND({"区"},A435),0),IFERROR(FIND({"县"},A435),0))-1+2)</f>
        <v>东海街道</v>
      </c>
      <c r="O435" s="4" t="str" cm="1">
        <f t="array" ref="O435">_xlfn.LET(_xlpm.fullText,A435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5" s="4" t="str" cm="1">
        <f t="array" ref="Q435">_xlfn.LET(_xlpm.fullText,A435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6" spans="1:17">
      <c r="A436" s="3" t="s">
        <v>27</v>
      </c>
      <c r="K436" s="4" t="str" cm="1">
        <f t="array" ref="K436">MID(A436,MAX(IFERROR(FIND({"省","市","区","县"},A436),0))+1,FIND("街道",A436)-MAX(IFERROR(FIND({"省","市","区","县"},A436),0))-1+2)</f>
        <v>东海街道</v>
      </c>
      <c r="M436" s="4" t="str" cm="1">
        <f t="array" ref="M436">MID(A436,MAX(IFERROR(FIND({"省"},A436),0),IFERROR(FIND({"市"},A436),0),IFERROR(FIND({"区"},A436),0),IFERROR(FIND({"县"},A436),0))+1,FIND("街道",A436)-MAX(IFERROR(FIND({"省"},A436),0),IFERROR(FIND({"市"},A436),0),IFERROR(FIND({"区"},A436),0),IFERROR(FIND({"县"},A436),0))-1+2)</f>
        <v>东海街道</v>
      </c>
      <c r="O436" s="4" t="str" cm="1">
        <f t="array" ref="O436">_xlfn.LET(_xlpm.fullText,A436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6" s="4" t="str" cm="1">
        <f t="array" ref="Q436">_xlfn.LET(_xlpm.fullText,A436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7" spans="1:17">
      <c r="A437" s="3" t="s">
        <v>35</v>
      </c>
      <c r="K437" s="4" t="str" cm="1">
        <f t="array" ref="K437">MID(A437,MAX(IFERROR(FIND({"省","市","区","县"},A437),0))+1,FIND("街道",A437)-MAX(IFERROR(FIND({"省","市","区","县"},A437),0))-1+2)</f>
        <v>东海街道</v>
      </c>
      <c r="M437" s="4" t="str" cm="1">
        <f t="array" ref="M437">MID(A437,MAX(IFERROR(FIND({"省"},A437),0),IFERROR(FIND({"市"},A437),0),IFERROR(FIND({"区"},A437),0),IFERROR(FIND({"县"},A437),0))+1,FIND("街道",A437)-MAX(IFERROR(FIND({"省"},A437),0),IFERROR(FIND({"市"},A437),0),IFERROR(FIND({"区"},A437),0),IFERROR(FIND({"县"},A437),0))-1+2)</f>
        <v>东海街道</v>
      </c>
      <c r="O437" s="4" t="str" cm="1">
        <f t="array" ref="O437">_xlfn.LET(_xlpm.fullText,A437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7" s="4" t="str" cm="1">
        <f t="array" ref="Q437">_xlfn.LET(_xlpm.fullText,A437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8" spans="1:17">
      <c r="A438" s="3" t="s">
        <v>27</v>
      </c>
      <c r="K438" s="4" t="str" cm="1">
        <f t="array" ref="K438">MID(A438,MAX(IFERROR(FIND({"省","市","区","县"},A438),0))+1,FIND("街道",A438)-MAX(IFERROR(FIND({"省","市","区","县"},A438),0))-1+2)</f>
        <v>东海街道</v>
      </c>
      <c r="M438" s="4" t="str" cm="1">
        <f t="array" ref="M438">MID(A438,MAX(IFERROR(FIND({"省"},A438),0),IFERROR(FIND({"市"},A438),0),IFERROR(FIND({"区"},A438),0),IFERROR(FIND({"县"},A438),0))+1,FIND("街道",A438)-MAX(IFERROR(FIND({"省"},A438),0),IFERROR(FIND({"市"},A438),0),IFERROR(FIND({"区"},A438),0),IFERROR(FIND({"县"},A438),0))-1+2)</f>
        <v>东海街道</v>
      </c>
      <c r="O438" s="4" t="str" cm="1">
        <f t="array" ref="O438">_xlfn.LET(_xlpm.fullText,A438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38" s="4" t="str" cm="1">
        <f t="array" ref="Q438">_xlfn.LET(_xlpm.fullText,A438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39" spans="1:17">
      <c r="A439" s="3" t="s">
        <v>138</v>
      </c>
      <c r="K439" s="4" t="str" cm="1">
        <f t="array" ref="K439">MID(A439,MAX(IFERROR(FIND({"省","市","区","县"},A439),0))+1,FIND("街道",A439)-MAX(IFERROR(FIND({"省","市","区","县"},A439),0))-1+2)</f>
        <v>城东街道</v>
      </c>
      <c r="M439" s="4" t="str" cm="1">
        <f t="array" ref="M439">MID(A439,MAX(IFERROR(FIND({"省"},A439),0),IFERROR(FIND({"市"},A439),0),IFERROR(FIND({"区"},A439),0),IFERROR(FIND({"县"},A439),0))+1,FIND("街道",A439)-MAX(IFERROR(FIND({"省"},A439),0),IFERROR(FIND({"市"},A439),0),IFERROR(FIND({"区"},A439),0),IFERROR(FIND({"县"},A439),0))-1+2)</f>
        <v>城东街道</v>
      </c>
      <c r="O439" s="4" t="str" cm="1">
        <f t="array" ref="O439">_xlfn.LET(_xlpm.fullText,A439,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439" s="4" t="str" cm="1">
        <f t="array" ref="Q439">_xlfn.LET(_xlpm.fullText,A439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440" spans="1:17">
      <c r="A440" s="3" t="s">
        <v>27</v>
      </c>
      <c r="K440" s="4" t="str" cm="1">
        <f t="array" ref="K440">MID(A440,MAX(IFERROR(FIND({"省","市","区","县"},A440),0))+1,FIND("街道",A440)-MAX(IFERROR(FIND({"省","市","区","县"},A440),0))-1+2)</f>
        <v>东海街道</v>
      </c>
      <c r="M440" s="4" t="str" cm="1">
        <f t="array" ref="M440">MID(A440,MAX(IFERROR(FIND({"省"},A440),0),IFERROR(FIND({"市"},A440),0),IFERROR(FIND({"区"},A440),0),IFERROR(FIND({"县"},A440),0))+1,FIND("街道",A440)-MAX(IFERROR(FIND({"省"},A440),0),IFERROR(FIND({"市"},A440),0),IFERROR(FIND({"区"},A440),0),IFERROR(FIND({"县"},A440),0))-1+2)</f>
        <v>东海街道</v>
      </c>
      <c r="O440" s="4" t="str" cm="1">
        <f t="array" ref="O440">_xlfn.LET(_xlpm.fullText,A440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40" s="4" t="str" cm="1">
        <f t="array" ref="Q440">_xlfn.LET(_xlpm.fullText,A440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41" spans="1:17">
      <c r="A441" s="3" t="s">
        <v>27</v>
      </c>
      <c r="K441" s="4" t="str" cm="1">
        <f t="array" ref="K441">MID(A441,MAX(IFERROR(FIND({"省","市","区","县"},A441),0))+1,FIND("街道",A441)-MAX(IFERROR(FIND({"省","市","区","县"},A441),0))-1+2)</f>
        <v>东海街道</v>
      </c>
      <c r="M441" s="4" t="str" cm="1">
        <f t="array" ref="M441">MID(A441,MAX(IFERROR(FIND({"省"},A441),0),IFERROR(FIND({"市"},A441),0),IFERROR(FIND({"区"},A441),0),IFERROR(FIND({"县"},A441),0))+1,FIND("街道",A441)-MAX(IFERROR(FIND({"省"},A441),0),IFERROR(FIND({"市"},A441),0),IFERROR(FIND({"区"},A441),0),IFERROR(FIND({"县"},A441),0))-1+2)</f>
        <v>东海街道</v>
      </c>
      <c r="O441" s="4" t="str" cm="1">
        <f t="array" ref="O441">_xlfn.LET(_xlpm.fullText,A441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41" s="4" t="str" cm="1">
        <f t="array" ref="Q441">_xlfn.LET(_xlpm.fullText,A441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42" spans="1:17">
      <c r="A442" s="3" t="s">
        <v>202</v>
      </c>
      <c r="K442" s="4" t="str" cm="1">
        <f t="array" ref="K442">MID(A442,MAX(IFERROR(FIND({"省","市","区","县"},A442),0))+1,FIND("街道",A442)-MAX(IFERROR(FIND({"省","市","区","县"},A442),0))-1+2)</f>
        <v>东海街道</v>
      </c>
      <c r="M442" s="4" t="str" cm="1">
        <f t="array" ref="M442">MID(A442,MAX(IFERROR(FIND({"省"},A442),0),IFERROR(FIND({"市"},A442),0),IFERROR(FIND({"区"},A442),0),IFERROR(FIND({"县"},A442),0))+1,FIND("街道",A442)-MAX(IFERROR(FIND({"省"},A442),0),IFERROR(FIND({"市"},A442),0),IFERROR(FIND({"区"},A442),0),IFERROR(FIND({"县"},A442),0))-1+2)</f>
        <v>东海街道</v>
      </c>
      <c r="O442" s="4" t="str" cm="1">
        <f t="array" ref="O442">_xlfn.LET(_xlpm.fullText,A442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42" s="4" t="str" cm="1">
        <f t="array" ref="Q442">_xlfn.LET(_xlpm.fullText,A442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43" spans="1:17">
      <c r="A443" s="3" t="s">
        <v>27</v>
      </c>
      <c r="K443" s="4" t="str" cm="1">
        <f t="array" ref="K443">MID(A443,MAX(IFERROR(FIND({"省","市","区","县"},A443),0))+1,FIND("街道",A443)-MAX(IFERROR(FIND({"省","市","区","县"},A443),0))-1+2)</f>
        <v>东海街道</v>
      </c>
      <c r="M443" s="4" t="str" cm="1">
        <f t="array" ref="M443">MID(A443,MAX(IFERROR(FIND({"省"},A443),0),IFERROR(FIND({"市"},A443),0),IFERROR(FIND({"区"},A443),0),IFERROR(FIND({"县"},A443),0))+1,FIND("街道",A443)-MAX(IFERROR(FIND({"省"},A443),0),IFERROR(FIND({"市"},A443),0),IFERROR(FIND({"区"},A443),0),IFERROR(FIND({"县"},A443),0))-1+2)</f>
        <v>东海街道</v>
      </c>
      <c r="O443" s="4" t="str" cm="1">
        <f t="array" ref="O443">_xlfn.LET(_xlpm.fullText,A443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43" s="4" t="str" cm="1">
        <f t="array" ref="Q443">_xlfn.LET(_xlpm.fullText,A443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44" spans="1:17">
      <c r="A444" s="3" t="s">
        <v>27</v>
      </c>
      <c r="K444" s="4" t="str" cm="1">
        <f t="array" ref="K444">MID(A444,MAX(IFERROR(FIND({"省","市","区","县"},A444),0))+1,FIND("街道",A444)-MAX(IFERROR(FIND({"省","市","区","县"},A444),0))-1+2)</f>
        <v>东海街道</v>
      </c>
      <c r="M444" s="4" t="str" cm="1">
        <f t="array" ref="M444">MID(A444,MAX(IFERROR(FIND({"省"},A444),0),IFERROR(FIND({"市"},A444),0),IFERROR(FIND({"区"},A444),0),IFERROR(FIND({"县"},A444),0))+1,FIND("街道",A444)-MAX(IFERROR(FIND({"省"},A444),0),IFERROR(FIND({"市"},A444),0),IFERROR(FIND({"区"},A444),0),IFERROR(FIND({"县"},A444),0))-1+2)</f>
        <v>东海街道</v>
      </c>
      <c r="O444" s="4" t="str" cm="1">
        <f t="array" ref="O444">_xlfn.LET(_xlpm.fullText,A444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44" s="4" t="str" cm="1">
        <f t="array" ref="Q444">_xlfn.LET(_xlpm.fullText,A444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45" spans="1:17">
      <c r="A445" s="3" t="s">
        <v>204</v>
      </c>
      <c r="K445" s="4" t="e" cm="1">
        <f t="array" ref="K445">MID(A445,MAX(IFERROR(FIND({"省","市","区","县"},A445),0))+1,FIND("街道",A445)-MAX(IFERROR(FIND({"省","市","区","县"},A445),0))-1+2)</f>
        <v>#VALUE!</v>
      </c>
      <c r="M445" s="4" t="e" cm="1">
        <f t="array" ref="M445">MID(A445,MAX(IFERROR(FIND({"省"},A445),0),IFERROR(FIND({"市"},A445),0),IFERROR(FIND({"区"},A445),0),IFERROR(FIND({"县"},A445),0))+1,FIND("街道",A445)-MAX(IFERROR(FIND({"省"},A445),0),IFERROR(FIND({"市"},A445),0),IFERROR(FIND({"区"},A445),0),IFERROR(FIND({"县"},A445),0))-1+2)</f>
        <v>#VALUE!</v>
      </c>
      <c r="O445" s="4" t="str" cm="1">
        <f t="array" ref="O445">_xlfn.LET(_xlpm.fullText,A445,_xlpm.streetPos,FIND("街道",_xlpm.fullText)+2,_xlpm.prefixText,LEFT(_xlpm.fullText,_xlpm.streetPos-1),_xlpm.adminPos,MAX(IFERROR(FIND({"省","市","区","县"},_xlpm.prefixText),0)),IF(_xlpm.adminPos&gt;0,MID(_xlpm.prefixText,_xlpm.adminPos+1,_xlpm.streetPos-_xlpm.adminPos-3+2),LEFT(_xlpm.prefixText,FIND("街道",_xlpm.prefixText)-1+2)))</f>
        <v>双阳街道</v>
      </c>
      <c r="Q445" s="4" t="str" cm="1">
        <f t="array" ref="Q445">_xlfn.LET(_xlpm.fullText,A445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双阳街道</v>
      </c>
    </row>
    <row r="446" spans="1:17">
      <c r="A446" s="3" t="s">
        <v>176</v>
      </c>
      <c r="K446" s="4" t="str" cm="1">
        <f t="array" ref="K446">MID(A446,MAX(IFERROR(FIND({"省","市","区","县"},A446),0))+1,FIND("街道",A446)-MAX(IFERROR(FIND({"省","市","区","县"},A446),0))-1+2)</f>
        <v>松陵街道</v>
      </c>
      <c r="M446" s="4" t="str" cm="1">
        <f t="array" ref="M446">MID(A446,MAX(IFERROR(FIND({"省"},A446),0),IFERROR(FIND({"市"},A446),0),IFERROR(FIND({"区"},A446),0),IFERROR(FIND({"县"},A446),0))+1,FIND("街道",A446)-MAX(IFERROR(FIND({"省"},A446),0),IFERROR(FIND({"市"},A446),0),IFERROR(FIND({"区"},A446),0),IFERROR(FIND({"县"},A446),0))-1+2)</f>
        <v>松陵街道</v>
      </c>
      <c r="O446" s="4" t="str" cm="1">
        <f t="array" ref="O446">_xlfn.LET(_xlpm.fullText,A446,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446" s="4" t="str" cm="1">
        <f t="array" ref="Q446">_xlfn.LET(_xlpm.fullText,A446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447" spans="1:17">
      <c r="A447" s="3" t="s">
        <v>205</v>
      </c>
      <c r="K447" s="4" t="str" cm="1">
        <f t="array" ref="K447">MID(A447,MAX(IFERROR(FIND({"省","市","区","县"},A447),0))+1,FIND("街道",A447)-MAX(IFERROR(FIND({"省","市","区","县"},A447),0))-1+2)</f>
        <v>松陵街道</v>
      </c>
      <c r="M447" s="4" t="str" cm="1">
        <f t="array" ref="M447">MID(A447,MAX(IFERROR(FIND({"省"},A447),0),IFERROR(FIND({"市"},A447),0),IFERROR(FIND({"区"},A447),0),IFERROR(FIND({"县"},A447),0))+1,FIND("街道",A447)-MAX(IFERROR(FIND({"省"},A447),0),IFERROR(FIND({"市"},A447),0),IFERROR(FIND({"区"},A447),0),IFERROR(FIND({"县"},A447),0))-1+2)</f>
        <v>松陵街道</v>
      </c>
      <c r="O447" s="4" t="str" cm="1">
        <f t="array" ref="O447">_xlfn.LET(_xlpm.fullText,A447,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447" s="4" t="str" cm="1">
        <f t="array" ref="Q447">_xlfn.LET(_xlpm.fullText,A447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448" ht="28.8" spans="1:17">
      <c r="A448" s="3" t="s">
        <v>111</v>
      </c>
      <c r="K448" s="4" t="str" cm="1">
        <f t="array" ref="K448">MID(A448,MAX(IFERROR(FIND({"省","市","区","县"},A448),0))+1,FIND("街道",A448)-MAX(IFERROR(FIND({"省","市","区","县"},A448),0))-1+2)</f>
        <v>金山桥街道</v>
      </c>
      <c r="M448" s="4" t="str" cm="1">
        <f t="array" ref="M448">MID(A448,MAX(IFERROR(FIND({"省"},A448),0),IFERROR(FIND({"市"},A448),0),IFERROR(FIND({"区"},A448),0),IFERROR(FIND({"县"},A448),0))+1,FIND("街道",A448)-MAX(IFERROR(FIND({"省"},A448),0),IFERROR(FIND({"市"},A448),0),IFERROR(FIND({"区"},A448),0),IFERROR(FIND({"县"},A448),0))-1+2)</f>
        <v>金山桥街道</v>
      </c>
      <c r="O448" s="4" t="str" cm="1">
        <f t="array" ref="O448">_xlfn.LET(_xlpm.fullText,A448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448" s="4" t="str" cm="1">
        <f t="array" ref="Q448">_xlfn.LET(_xlpm.fullText,A448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449" spans="1:17">
      <c r="A449" s="3" t="s">
        <v>206</v>
      </c>
      <c r="K449" s="4" t="str" cm="1">
        <f t="array" ref="K449">MID(A449,MAX(IFERROR(FIND({"省","市","区","县"},A449),0))+1,FIND("街道",A449)-MAX(IFERROR(FIND({"省","市","区","县"},A449),0))-1+2)</f>
        <v>火花街道</v>
      </c>
      <c r="M449" s="4" t="str" cm="1">
        <f t="array" ref="M449">MID(A449,MAX(IFERROR(FIND({"省"},A449),0),IFERROR(FIND({"市"},A449),0),IFERROR(FIND({"区"},A449),0),IFERROR(FIND({"县"},A449),0))+1,FIND("街道",A449)-MAX(IFERROR(FIND({"省"},A449),0),IFERROR(FIND({"市"},A449),0),IFERROR(FIND({"区"},A449),0),IFERROR(FIND({"县"},A449),0))-1+2)</f>
        <v>火花街道</v>
      </c>
      <c r="O449" s="4" t="str" cm="1">
        <f t="array" ref="O449">_xlfn.LET(_xlpm.fullText,A449,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449" s="4" t="str" cm="1">
        <f t="array" ref="Q449">_xlfn.LET(_xlpm.fullText,A449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450" ht="28.8" spans="1:17">
      <c r="A450" s="3" t="s">
        <v>111</v>
      </c>
      <c r="K450" s="4" t="str" cm="1">
        <f t="array" ref="K450">MID(A450,MAX(IFERROR(FIND({"省","市","区","县"},A450),0))+1,FIND("街道",A450)-MAX(IFERROR(FIND({"省","市","区","县"},A450),0))-1+2)</f>
        <v>金山桥街道</v>
      </c>
      <c r="M450" s="4" t="str" cm="1">
        <f t="array" ref="M450">MID(A450,MAX(IFERROR(FIND({"省"},A450),0),IFERROR(FIND({"市"},A450),0),IFERROR(FIND({"区"},A450),0),IFERROR(FIND({"县"},A450),0))+1,FIND("街道",A450)-MAX(IFERROR(FIND({"省"},A450),0),IFERROR(FIND({"市"},A450),0),IFERROR(FIND({"区"},A450),0),IFERROR(FIND({"县"},A450),0))-1+2)</f>
        <v>金山桥街道</v>
      </c>
      <c r="O450" s="4" t="str" cm="1">
        <f t="array" ref="O450">_xlfn.LET(_xlpm.fullText,A450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450" s="4" t="str" cm="1">
        <f t="array" ref="Q450">_xlfn.LET(_xlpm.fullText,A450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451" spans="1:17">
      <c r="A451" s="3" t="s">
        <v>207</v>
      </c>
      <c r="K451" s="4" t="str" cm="1">
        <f t="array" ref="K451">MID(A451,MAX(IFERROR(FIND({"省","市","区","县"},A451),0))+1,FIND("街道",A451)-MAX(IFERROR(FIND({"省","市","区","县"},A451),0))-1+2)</f>
        <v>莲前街道</v>
      </c>
      <c r="M451" s="4" t="str" cm="1">
        <f t="array" ref="M451">MID(A451,MAX(IFERROR(FIND({"省"},A451),0),IFERROR(FIND({"市"},A451),0),IFERROR(FIND({"区"},A451),0),IFERROR(FIND({"县"},A451),0))+1,FIND("街道",A451)-MAX(IFERROR(FIND({"省"},A451),0),IFERROR(FIND({"市"},A451),0),IFERROR(FIND({"区"},A451),0),IFERROR(FIND({"县"},A451),0))-1+2)</f>
        <v>莲前街道</v>
      </c>
      <c r="O451" s="4" t="str" cm="1">
        <f t="array" ref="O451">_xlfn.LET(_xlpm.fullText,A451,_xlpm.streetPos,FIND("街道",_xlpm.fullText)+2,_xlpm.prefixText,LEFT(_xlpm.fullText,_xlpm.streetPos-1),_xlpm.adminPos,MAX(IFERROR(FIND({"省","市","区","县"},_xlpm.prefixText),0)),IF(_xlpm.adminPos&gt;0,MID(_xlpm.prefixText,_xlpm.adminPos+1,_xlpm.streetPos-_xlpm.adminPos-3+2),LEFT(_xlpm.prefixText,FIND("街道",_xlpm.prefixText)-1+2)))</f>
        <v>莲前街道</v>
      </c>
      <c r="Q451" s="4" t="str" cm="1">
        <f t="array" ref="Q451">_xlfn.LET(_xlpm.fullText,A451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莲前街道</v>
      </c>
    </row>
    <row r="452" spans="1:17">
      <c r="A452" s="3" t="s">
        <v>208</v>
      </c>
      <c r="K452" s="4" t="str" cm="1">
        <f t="array" ref="K452">MID(A452,MAX(IFERROR(FIND({"省","市","区","县"},A452),0))+1,FIND("街道",A452)-MAX(IFERROR(FIND({"省","市","区","县"},A452),0))-1+2)</f>
        <v>丰泽街道</v>
      </c>
      <c r="M452" s="4" t="str" cm="1">
        <f t="array" ref="M452">MID(A452,MAX(IFERROR(FIND({"省"},A452),0),IFERROR(FIND({"市"},A452),0),IFERROR(FIND({"区"},A452),0),IFERROR(FIND({"县"},A452),0))+1,FIND("街道",A452)-MAX(IFERROR(FIND({"省"},A452),0),IFERROR(FIND({"市"},A452),0),IFERROR(FIND({"区"},A452),0),IFERROR(FIND({"县"},A452),0))-1+2)</f>
        <v>丰泽街道</v>
      </c>
      <c r="O452" s="4" t="str" cm="1">
        <f t="array" ref="O452">_xlfn.LET(_xlpm.fullText,A452,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452" s="4" t="str" cm="1">
        <f t="array" ref="Q452">_xlfn.LET(_xlpm.fullText,A452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453" spans="1:17">
      <c r="A453" s="3" t="s">
        <v>27</v>
      </c>
      <c r="K453" s="4" t="str" cm="1">
        <f t="array" ref="K453">MID(A453,MAX(IFERROR(FIND({"省","市","区","县"},A453),0))+1,FIND("街道",A453)-MAX(IFERROR(FIND({"省","市","区","县"},A453),0))-1+2)</f>
        <v>东海街道</v>
      </c>
      <c r="M453" s="4" t="str" cm="1">
        <f t="array" ref="M453">MID(A453,MAX(IFERROR(FIND({"省"},A453),0),IFERROR(FIND({"市"},A453),0),IFERROR(FIND({"区"},A453),0),IFERROR(FIND({"县"},A453),0))+1,FIND("街道",A453)-MAX(IFERROR(FIND({"省"},A453),0),IFERROR(FIND({"市"},A453),0),IFERROR(FIND({"区"},A453),0),IFERROR(FIND({"县"},A453),0))-1+2)</f>
        <v>东海街道</v>
      </c>
      <c r="O453" s="4" t="str" cm="1">
        <f t="array" ref="O453">_xlfn.LET(_xlpm.fullText,A453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3" s="4" t="str" cm="1">
        <f t="array" ref="Q453">_xlfn.LET(_xlpm.fullText,A453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4" spans="1:17">
      <c r="A454" s="3" t="s">
        <v>27</v>
      </c>
      <c r="K454" s="4" t="str" cm="1">
        <f t="array" ref="K454">MID(A454,MAX(IFERROR(FIND({"省","市","区","县"},A454),0))+1,FIND("街道",A454)-MAX(IFERROR(FIND({"省","市","区","县"},A454),0))-1+2)</f>
        <v>东海街道</v>
      </c>
      <c r="M454" s="4" t="str" cm="1">
        <f t="array" ref="M454">MID(A454,MAX(IFERROR(FIND({"省"},A454),0),IFERROR(FIND({"市"},A454),0),IFERROR(FIND({"区"},A454),0),IFERROR(FIND({"县"},A454),0))+1,FIND("街道",A454)-MAX(IFERROR(FIND({"省"},A454),0),IFERROR(FIND({"市"},A454),0),IFERROR(FIND({"区"},A454),0),IFERROR(FIND({"县"},A454),0))-1+2)</f>
        <v>东海街道</v>
      </c>
      <c r="O454" s="4" t="str" cm="1">
        <f t="array" ref="O454">_xlfn.LET(_xlpm.fullText,A454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4" s="4" t="str" cm="1">
        <f t="array" ref="Q454">_xlfn.LET(_xlpm.fullText,A454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5" spans="1:17">
      <c r="A455" s="3" t="s">
        <v>209</v>
      </c>
      <c r="K455" s="4" t="e" cm="1">
        <f t="array" ref="K455">MID(A455,MAX(IFERROR(FIND({"省","市","区","县"},A455),0))+1,FIND("街道",A455)-MAX(IFERROR(FIND({"省","市","区","县"},A455),0))-1+2)</f>
        <v>#VALUE!</v>
      </c>
      <c r="M455" s="4" t="e" cm="1">
        <f t="array" ref="M455">MID(A455,MAX(IFERROR(FIND({"省"},A455),0),IFERROR(FIND({"市"},A455),0),IFERROR(FIND({"区"},A455),0),IFERROR(FIND({"县"},A455),0))+1,FIND("街道",A455)-MAX(IFERROR(FIND({"省"},A455),0),IFERROR(FIND({"市"},A455),0),IFERROR(FIND({"区"},A455),0),IFERROR(FIND({"县"},A455),0))-1+2)</f>
        <v>#VALUE!</v>
      </c>
      <c r="O455" s="4" t="str" cm="1">
        <f t="array" ref="O455">_xlfn.LET(_xlpm.fullText,A455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5" s="4" t="str" cm="1">
        <f t="array" ref="Q455">_xlfn.LET(_xlpm.fullText,A455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6" spans="1:17">
      <c r="A456" s="3" t="s">
        <v>210</v>
      </c>
      <c r="K456" s="4" t="str" cm="1">
        <f t="array" ref="K456">MID(A456,MAX(IFERROR(FIND({"省","市","区","县"},A456),0))+1,FIND("街道",A456)-MAX(IFERROR(FIND({"省","市","区","县"},A456),0))-1+2)</f>
        <v>东海街道</v>
      </c>
      <c r="M456" s="4" t="str" cm="1">
        <f t="array" ref="M456">MID(A456,MAX(IFERROR(FIND({"省"},A456),0),IFERROR(FIND({"市"},A456),0),IFERROR(FIND({"区"},A456),0),IFERROR(FIND({"县"},A456),0))+1,FIND("街道",A456)-MAX(IFERROR(FIND({"省"},A456),0),IFERROR(FIND({"市"},A456),0),IFERROR(FIND({"区"},A456),0),IFERROR(FIND({"县"},A456),0))-1+2)</f>
        <v>东海街道</v>
      </c>
      <c r="O456" s="4" t="str" cm="1">
        <f t="array" ref="O456">_xlfn.LET(_xlpm.fullText,A456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6" s="4" t="str" cm="1">
        <f t="array" ref="Q456">_xlfn.LET(_xlpm.fullText,A456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7" spans="1:17">
      <c r="A457" s="3" t="s">
        <v>27</v>
      </c>
      <c r="K457" s="4" t="str" cm="1">
        <f t="array" ref="K457">MID(A457,MAX(IFERROR(FIND({"省","市","区","县"},A457),0))+1,FIND("街道",A457)-MAX(IFERROR(FIND({"省","市","区","县"},A457),0))-1+2)</f>
        <v>东海街道</v>
      </c>
      <c r="M457" s="4" t="str" cm="1">
        <f t="array" ref="M457">MID(A457,MAX(IFERROR(FIND({"省"},A457),0),IFERROR(FIND({"市"},A457),0),IFERROR(FIND({"区"},A457),0),IFERROR(FIND({"县"},A457),0))+1,FIND("街道",A457)-MAX(IFERROR(FIND({"省"},A457),0),IFERROR(FIND({"市"},A457),0),IFERROR(FIND({"区"},A457),0),IFERROR(FIND({"县"},A457),0))-1+2)</f>
        <v>东海街道</v>
      </c>
      <c r="O457" s="4" t="str" cm="1">
        <f t="array" ref="O457">_xlfn.LET(_xlpm.fullText,A457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7" s="4" t="str" cm="1">
        <f t="array" ref="Q457">_xlfn.LET(_xlpm.fullText,A457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8" spans="1:17">
      <c r="A458" s="3" t="s">
        <v>202</v>
      </c>
      <c r="K458" s="4" t="str" cm="1">
        <f t="array" ref="K458">MID(A458,MAX(IFERROR(FIND({"省","市","区","县"},A458),0))+1,FIND("街道",A458)-MAX(IFERROR(FIND({"省","市","区","县"},A458),0))-1+2)</f>
        <v>东海街道</v>
      </c>
      <c r="M458" s="4" t="str" cm="1">
        <f t="array" ref="M458">MID(A458,MAX(IFERROR(FIND({"省"},A458),0),IFERROR(FIND({"市"},A458),0),IFERROR(FIND({"区"},A458),0),IFERROR(FIND({"县"},A458),0))+1,FIND("街道",A458)-MAX(IFERROR(FIND({"省"},A458),0),IFERROR(FIND({"市"},A458),0),IFERROR(FIND({"区"},A458),0),IFERROR(FIND({"县"},A458),0))-1+2)</f>
        <v>东海街道</v>
      </c>
      <c r="O458" s="4" t="str" cm="1">
        <f t="array" ref="O458">_xlfn.LET(_xlpm.fullText,A458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8" s="4" t="str" cm="1">
        <f t="array" ref="Q458">_xlfn.LET(_xlpm.fullText,A458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59" spans="1:17">
      <c r="A459" s="3" t="s">
        <v>27</v>
      </c>
      <c r="K459" s="4" t="str" cm="1">
        <f t="array" ref="K459">MID(A459,MAX(IFERROR(FIND({"省","市","区","县"},A459),0))+1,FIND("街道",A459)-MAX(IFERROR(FIND({"省","市","区","县"},A459),0))-1+2)</f>
        <v>东海街道</v>
      </c>
      <c r="M459" s="4" t="str" cm="1">
        <f t="array" ref="M459">MID(A459,MAX(IFERROR(FIND({"省"},A459),0),IFERROR(FIND({"市"},A459),0),IFERROR(FIND({"区"},A459),0),IFERROR(FIND({"县"},A459),0))+1,FIND("街道",A459)-MAX(IFERROR(FIND({"省"},A459),0),IFERROR(FIND({"市"},A459),0),IFERROR(FIND({"区"},A459),0),IFERROR(FIND({"县"},A459),0))-1+2)</f>
        <v>东海街道</v>
      </c>
      <c r="O459" s="4" t="str" cm="1">
        <f t="array" ref="O459">_xlfn.LET(_xlpm.fullText,A459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59" s="4" t="str" cm="1">
        <f t="array" ref="Q459">_xlfn.LET(_xlpm.fullText,A459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0" spans="1:17">
      <c r="A460" s="3" t="s">
        <v>27</v>
      </c>
      <c r="K460" s="4" t="str" cm="1">
        <f t="array" ref="K460">MID(A460,MAX(IFERROR(FIND({"省","市","区","县"},A460),0))+1,FIND("街道",A460)-MAX(IFERROR(FIND({"省","市","区","县"},A460),0))-1+2)</f>
        <v>东海街道</v>
      </c>
      <c r="M460" s="4" t="str" cm="1">
        <f t="array" ref="M460">MID(A460,MAX(IFERROR(FIND({"省"},A460),0),IFERROR(FIND({"市"},A460),0),IFERROR(FIND({"区"},A460),0),IFERROR(FIND({"县"},A460),0))+1,FIND("街道",A460)-MAX(IFERROR(FIND({"省"},A460),0),IFERROR(FIND({"市"},A460),0),IFERROR(FIND({"区"},A460),0),IFERROR(FIND({"县"},A460),0))-1+2)</f>
        <v>东海街道</v>
      </c>
      <c r="O460" s="4" t="str" cm="1">
        <f t="array" ref="O460">_xlfn.LET(_xlpm.fullText,A460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0" s="4" t="str" cm="1">
        <f t="array" ref="Q460">_xlfn.LET(_xlpm.fullText,A460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1" spans="1:17">
      <c r="A461" s="3" t="s">
        <v>211</v>
      </c>
      <c r="K461" s="4" t="str" cm="1">
        <f t="array" ref="K461">MID(A461,MAX(IFERROR(FIND({"省","市","区","县"},A461),0))+1,FIND("街道",A461)-MAX(IFERROR(FIND({"省","市","区","县"},A461),0))-1+2)</f>
        <v>东海街道</v>
      </c>
      <c r="M461" s="4" t="str" cm="1">
        <f t="array" ref="M461">MID(A461,MAX(IFERROR(FIND({"省"},A461),0),IFERROR(FIND({"市"},A461),0),IFERROR(FIND({"区"},A461),0),IFERROR(FIND({"县"},A461),0))+1,FIND("街道",A461)-MAX(IFERROR(FIND({"省"},A461),0),IFERROR(FIND({"市"},A461),0),IFERROR(FIND({"区"},A461),0),IFERROR(FIND({"县"},A461),0))-1+2)</f>
        <v>东海街道</v>
      </c>
      <c r="O461" s="4" t="str" cm="1">
        <f t="array" ref="O461">_xlfn.LET(_xlpm.fullText,A461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1" s="4" t="str" cm="1">
        <f t="array" ref="Q461">_xlfn.LET(_xlpm.fullText,A461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2" spans="1:17">
      <c r="A462" s="3" t="s">
        <v>202</v>
      </c>
      <c r="K462" s="4" t="str" cm="1">
        <f t="array" ref="K462">MID(A462,MAX(IFERROR(FIND({"省","市","区","县"},A462),0))+1,FIND("街道",A462)-MAX(IFERROR(FIND({"省","市","区","县"},A462),0))-1+2)</f>
        <v>东海街道</v>
      </c>
      <c r="M462" s="4" t="str" cm="1">
        <f t="array" ref="M462">MID(A462,MAX(IFERROR(FIND({"省"},A462),0),IFERROR(FIND({"市"},A462),0),IFERROR(FIND({"区"},A462),0),IFERROR(FIND({"县"},A462),0))+1,FIND("街道",A462)-MAX(IFERROR(FIND({"省"},A462),0),IFERROR(FIND({"市"},A462),0),IFERROR(FIND({"区"},A462),0),IFERROR(FIND({"县"},A462),0))-1+2)</f>
        <v>东海街道</v>
      </c>
      <c r="O462" s="4" t="str" cm="1">
        <f t="array" ref="O462">_xlfn.LET(_xlpm.fullText,A462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2" s="4" t="str" cm="1">
        <f t="array" ref="Q462">_xlfn.LET(_xlpm.fullText,A462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3" ht="28.8" spans="1:17">
      <c r="A463" s="3" t="s">
        <v>212</v>
      </c>
      <c r="K463" s="4" t="str" cm="1">
        <f t="array" ref="K463">MID(A463,MAX(IFERROR(FIND({"省","市","区","县"},A463),0))+1,FIND("街道",A463)-MAX(IFERROR(FIND({"省","市","区","县"},A463),0))-1+2)</f>
        <v>晋江市青阳街道</v>
      </c>
      <c r="M463" s="4" t="str" cm="1">
        <f t="array" ref="M463">MID(A463,MAX(IFERROR(FIND({"省"},A463),0),IFERROR(FIND({"市"},A463),0),IFERROR(FIND({"区"},A463),0),IFERROR(FIND({"县"},A463),0))+1,FIND("街道",A463)-MAX(IFERROR(FIND({"省"},A463),0),IFERROR(FIND({"市"},A463),0),IFERROR(FIND({"区"},A463),0),IFERROR(FIND({"县"},A463),0))-1+2)</f>
        <v>晋江市青阳街道</v>
      </c>
      <c r="O463" s="4" t="str" cm="1">
        <f t="array" ref="O463">_xlfn.LET(_xlpm.fullText,A463,_xlpm.streetPos,FIND("街道",_xlpm.fullText)+2,_xlpm.prefixText,LEFT(_xlpm.fullText,_xlpm.streetPos-1),_xlpm.adminPos,MAX(IFERROR(FIND({"省","市","区","县"},_xlpm.prefixText),0)),IF(_xlpm.adminPos&gt;0,MID(_xlpm.prefixText,_xlpm.adminPos+1,_xlpm.streetPos-_xlpm.adminPos-3+2),LEFT(_xlpm.prefixText,FIND("街道",_xlpm.prefixText)-1+2)))</f>
        <v>晋江市青阳街道</v>
      </c>
      <c r="Q463" s="4" t="str" cm="1">
        <f t="array" ref="Q463">_xlfn.LET(_xlpm.fullText,A463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青阳街道</v>
      </c>
    </row>
    <row r="464" spans="1:17">
      <c r="A464" s="3" t="s">
        <v>27</v>
      </c>
      <c r="K464" s="4" t="str" cm="1">
        <f t="array" ref="K464">MID(A464,MAX(IFERROR(FIND({"省","市","区","县"},A464),0))+1,FIND("街道",A464)-MAX(IFERROR(FIND({"省","市","区","县"},A464),0))-1+2)</f>
        <v>东海街道</v>
      </c>
      <c r="M464" s="4" t="str" cm="1">
        <f t="array" ref="M464">MID(A464,MAX(IFERROR(FIND({"省"},A464),0),IFERROR(FIND({"市"},A464),0),IFERROR(FIND({"区"},A464),0),IFERROR(FIND({"县"},A464),0))+1,FIND("街道",A464)-MAX(IFERROR(FIND({"省"},A464),0),IFERROR(FIND({"市"},A464),0),IFERROR(FIND({"区"},A464),0),IFERROR(FIND({"县"},A464),0))-1+2)</f>
        <v>东海街道</v>
      </c>
      <c r="O464" s="4" t="str" cm="1">
        <f t="array" ref="O464">_xlfn.LET(_xlpm.fullText,A464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4" s="4" t="str" cm="1">
        <f t="array" ref="Q464">_xlfn.LET(_xlpm.fullText,A464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5" spans="1:17">
      <c r="A465" s="3" t="s">
        <v>27</v>
      </c>
      <c r="K465" s="4" t="str" cm="1">
        <f t="array" ref="K465">MID(A465,MAX(IFERROR(FIND({"省","市","区","县"},A465),0))+1,FIND("街道",A465)-MAX(IFERROR(FIND({"省","市","区","县"},A465),0))-1+2)</f>
        <v>东海街道</v>
      </c>
      <c r="M465" s="4" t="str" cm="1">
        <f t="array" ref="M465">MID(A465,MAX(IFERROR(FIND({"省"},A465),0),IFERROR(FIND({"市"},A465),0),IFERROR(FIND({"区"},A465),0),IFERROR(FIND({"县"},A465),0))+1,FIND("街道",A465)-MAX(IFERROR(FIND({"省"},A465),0),IFERROR(FIND({"市"},A465),0),IFERROR(FIND({"区"},A465),0),IFERROR(FIND({"县"},A465),0))-1+2)</f>
        <v>东海街道</v>
      </c>
      <c r="O465" s="4" t="str" cm="1">
        <f t="array" ref="O465">_xlfn.LET(_xlpm.fullText,A465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5" s="4" t="str" cm="1">
        <f t="array" ref="Q465">_xlfn.LET(_xlpm.fullText,A465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6" spans="1:17">
      <c r="A466" s="3" t="s">
        <v>27</v>
      </c>
      <c r="K466" s="4" t="str" cm="1">
        <f t="array" ref="K466">MID(A466,MAX(IFERROR(FIND({"省","市","区","县"},A466),0))+1,FIND("街道",A466)-MAX(IFERROR(FIND({"省","市","区","县"},A466),0))-1+2)</f>
        <v>东海街道</v>
      </c>
      <c r="M466" s="4" t="str" cm="1">
        <f t="array" ref="M466">MID(A466,MAX(IFERROR(FIND({"省"},A466),0),IFERROR(FIND({"市"},A466),0),IFERROR(FIND({"区"},A466),0),IFERROR(FIND({"县"},A466),0))+1,FIND("街道",A466)-MAX(IFERROR(FIND({"省"},A466),0),IFERROR(FIND({"市"},A466),0),IFERROR(FIND({"区"},A466),0),IFERROR(FIND({"县"},A466),0))-1+2)</f>
        <v>东海街道</v>
      </c>
      <c r="O466" s="4" t="str" cm="1">
        <f t="array" ref="O466">_xlfn.LET(_xlpm.fullText,A466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6" s="4" t="str" cm="1">
        <f t="array" ref="Q466">_xlfn.LET(_xlpm.fullText,A466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7" spans="1:17">
      <c r="A467" s="3" t="s">
        <v>213</v>
      </c>
      <c r="K467" s="4" t="str" cm="1">
        <f t="array" ref="K467">MID(A467,MAX(IFERROR(FIND({"省","市","区","县"},A467),0))+1,FIND("街道",A467)-MAX(IFERROR(FIND({"省","市","区","县"},A467),0))-1+2)</f>
        <v>东海街道</v>
      </c>
      <c r="M467" s="4" t="str" cm="1">
        <f t="array" ref="M467">MID(A467,MAX(IFERROR(FIND({"省"},A467),0),IFERROR(FIND({"市"},A467),0),IFERROR(FIND({"区"},A467),0),IFERROR(FIND({"县"},A467),0))+1,FIND("街道",A467)-MAX(IFERROR(FIND({"省"},A467),0),IFERROR(FIND({"市"},A467),0),IFERROR(FIND({"区"},A467),0),IFERROR(FIND({"县"},A467),0))-1+2)</f>
        <v>东海街道</v>
      </c>
      <c r="O467" s="4" t="str" cm="1">
        <f t="array" ref="O467">_xlfn.LET(_xlpm.fullText,A467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7" s="4" t="str" cm="1">
        <f t="array" ref="Q467">_xlfn.LET(_xlpm.fullText,A467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8" spans="1:17">
      <c r="A468" s="3" t="s">
        <v>27</v>
      </c>
      <c r="K468" s="4" t="str" cm="1">
        <f t="array" ref="K468">MID(A468,MAX(IFERROR(FIND({"省","市","区","县"},A468),0))+1,FIND("街道",A468)-MAX(IFERROR(FIND({"省","市","区","县"},A468),0))-1+2)</f>
        <v>东海街道</v>
      </c>
      <c r="M468" s="4" t="str" cm="1">
        <f t="array" ref="M468">MID(A468,MAX(IFERROR(FIND({"省"},A468),0),IFERROR(FIND({"市"},A468),0),IFERROR(FIND({"区"},A468),0),IFERROR(FIND({"县"},A468),0))+1,FIND("街道",A468)-MAX(IFERROR(FIND({"省"},A468),0),IFERROR(FIND({"市"},A468),0),IFERROR(FIND({"区"},A468),0),IFERROR(FIND({"县"},A468),0))-1+2)</f>
        <v>东海街道</v>
      </c>
      <c r="O468" s="4" t="str" cm="1">
        <f t="array" ref="O468">_xlfn.LET(_xlpm.fullText,A468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8" s="4" t="str" cm="1">
        <f t="array" ref="Q468">_xlfn.LET(_xlpm.fullText,A468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69" spans="1:17">
      <c r="A469" s="3" t="s">
        <v>27</v>
      </c>
      <c r="K469" s="4" t="str" cm="1">
        <f t="array" ref="K469">MID(A469,MAX(IFERROR(FIND({"省","市","区","县"},A469),0))+1,FIND("街道",A469)-MAX(IFERROR(FIND({"省","市","区","县"},A469),0))-1+2)</f>
        <v>东海街道</v>
      </c>
      <c r="M469" s="4" t="str" cm="1">
        <f t="array" ref="M469">MID(A469,MAX(IFERROR(FIND({"省"},A469),0),IFERROR(FIND({"市"},A469),0),IFERROR(FIND({"区"},A469),0),IFERROR(FIND({"县"},A469),0))+1,FIND("街道",A469)-MAX(IFERROR(FIND({"省"},A469),0),IFERROR(FIND({"市"},A469),0),IFERROR(FIND({"区"},A469),0),IFERROR(FIND({"县"},A469),0))-1+2)</f>
        <v>东海街道</v>
      </c>
      <c r="O469" s="4" t="str" cm="1">
        <f t="array" ref="O469">_xlfn.LET(_xlpm.fullText,A469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69" s="4" t="str" cm="1">
        <f t="array" ref="Q469">_xlfn.LET(_xlpm.fullText,A469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70" spans="1:17">
      <c r="A470" s="3" t="s">
        <v>195</v>
      </c>
      <c r="K470" s="4" t="str" cm="1">
        <f t="array" ref="K470">MID(A470,MAX(IFERROR(FIND({"省","市","区","县"},A470),0))+1,FIND("街道",A470)-MAX(IFERROR(FIND({"省","市","区","县"},A470),0))-1+2)</f>
        <v>海沧街道</v>
      </c>
      <c r="M470" s="4" t="str" cm="1">
        <f t="array" ref="M470">MID(A470,MAX(IFERROR(FIND({"省"},A470),0),IFERROR(FIND({"市"},A470),0),IFERROR(FIND({"区"},A470),0),IFERROR(FIND({"县"},A470),0))+1,FIND("街道",A470)-MAX(IFERROR(FIND({"省"},A470),0),IFERROR(FIND({"市"},A470),0),IFERROR(FIND({"区"},A470),0),IFERROR(FIND({"县"},A470),0))-1+2)</f>
        <v>海沧街道</v>
      </c>
      <c r="O470" s="4" t="str" cm="1">
        <f t="array" ref="O470">_xlfn.LET(_xlpm.fullText,A470,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70" s="4" t="str" cm="1">
        <f t="array" ref="Q470">_xlfn.LET(_xlpm.fullText,A470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71" spans="1:17">
      <c r="A471" s="3" t="s">
        <v>214</v>
      </c>
      <c r="K471" s="4" t="str" cm="1">
        <f t="array" ref="K471">MID(A471,MAX(IFERROR(FIND({"省","市","区","县"},A471),0))+1,FIND("街道",A471)-MAX(IFERROR(FIND({"省","市","区","县"},A471),0))-1+2)</f>
        <v>海沧街道</v>
      </c>
      <c r="M471" s="4" t="str" cm="1">
        <f t="array" ref="M471">MID(A471,MAX(IFERROR(FIND({"省"},A471),0),IFERROR(FIND({"市"},A471),0),IFERROR(FIND({"区"},A471),0),IFERROR(FIND({"县"},A471),0))+1,FIND("街道",A471)-MAX(IFERROR(FIND({"省"},A471),0),IFERROR(FIND({"市"},A471),0),IFERROR(FIND({"区"},A471),0),IFERROR(FIND({"县"},A471),0))-1+2)</f>
        <v>海沧街道</v>
      </c>
      <c r="O471" s="4" t="str" cm="1">
        <f t="array" ref="O471">_xlfn.LET(_xlpm.fullText,A471,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71" s="4" t="str" cm="1">
        <f t="array" ref="Q471">_xlfn.LET(_xlpm.fullText,A471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72" spans="1:17">
      <c r="A472" s="3" t="s">
        <v>215</v>
      </c>
      <c r="K472" s="4" t="str" cm="1">
        <f t="array" ref="K472">MID(A472,MAX(IFERROR(FIND({"省","市","区","县"},A472),0))+1,FIND("街道",A472)-MAX(IFERROR(FIND({"省","市","区","县"},A472),0))-1+2)</f>
        <v>海沧街道</v>
      </c>
      <c r="M472" s="4" t="str" cm="1">
        <f t="array" ref="M472">MID(A472,MAX(IFERROR(FIND({"省"},A472),0),IFERROR(FIND({"市"},A472),0),IFERROR(FIND({"区"},A472),0),IFERROR(FIND({"县"},A472),0))+1,FIND("街道",A472)-MAX(IFERROR(FIND({"省"},A472),0),IFERROR(FIND({"市"},A472),0),IFERROR(FIND({"区"},A472),0),IFERROR(FIND({"县"},A472),0))-1+2)</f>
        <v>海沧街道</v>
      </c>
      <c r="O472" s="4" t="str" cm="1">
        <f t="array" ref="O472">_xlfn.LET(_xlpm.fullText,A472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72" s="4" t="str" cm="1">
        <f t="array" ref="Q472">_xlfn.LET(_xlpm.fullText,A472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73" spans="1:17">
      <c r="A473" s="3" t="s">
        <v>216</v>
      </c>
      <c r="K473" s="4" t="str" cm="1">
        <f t="array" ref="K473">MID(A473,MAX(IFERROR(FIND({"省","市","区","县"},A473),0))+1,FIND("街道",A473)-MAX(IFERROR(FIND({"省","市","区","县"},A473),0))-1+2)</f>
        <v>海沧街道</v>
      </c>
      <c r="M473" s="4" t="str" cm="1">
        <f t="array" ref="M473">MID(A473,MAX(IFERROR(FIND({"省"},A473),0),IFERROR(FIND({"市"},A473),0),IFERROR(FIND({"区"},A473),0),IFERROR(FIND({"县"},A473),0))+1,FIND("街道",A473)-MAX(IFERROR(FIND({"省"},A473),0),IFERROR(FIND({"市"},A473),0),IFERROR(FIND({"区"},A473),0),IFERROR(FIND({"县"},A473),0))-1+2)</f>
        <v>海沧街道</v>
      </c>
      <c r="O473" s="4" t="str" cm="1">
        <f t="array" ref="O473">_xlfn.LET(_xlpm.fullText,A473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73" s="4" t="str" cm="1">
        <f t="array" ref="Q473">_xlfn.LET(_xlpm.fullText,A473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74" spans="1:17">
      <c r="A474" s="3" t="s">
        <v>195</v>
      </c>
      <c r="K474" s="4" t="str" cm="1">
        <f t="array" ref="K474">MID(A474,MAX(IFERROR(FIND({"省","市","区","县"},A474),0))+1,FIND("街道",A474)-MAX(IFERROR(FIND({"省","市","区","县"},A474),0))-1+2)</f>
        <v>海沧街道</v>
      </c>
      <c r="M474" s="4" t="str" cm="1">
        <f t="array" ref="M474">MID(A474,MAX(IFERROR(FIND({"省"},A474),0),IFERROR(FIND({"市"},A474),0),IFERROR(FIND({"区"},A474),0),IFERROR(FIND({"县"},A474),0))+1,FIND("街道",A474)-MAX(IFERROR(FIND({"省"},A474),0),IFERROR(FIND({"市"},A474),0),IFERROR(FIND({"区"},A474),0),IFERROR(FIND({"县"},A474),0))-1+2)</f>
        <v>海沧街道</v>
      </c>
      <c r="O474" s="4" t="str" cm="1">
        <f t="array" ref="O474">_xlfn.LET(_xlpm.fullText,A474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74" s="4" t="str" cm="1">
        <f t="array" ref="Q474">_xlfn.LET(_xlpm.fullText,A474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75" spans="1:17">
      <c r="A475" s="3" t="s">
        <v>27</v>
      </c>
      <c r="K475" s="4" t="str" cm="1">
        <f t="array" ref="K475">MID(A475,MAX(IFERROR(FIND({"省","市","区","县"},A475),0))+1,FIND("街道",A475)-MAX(IFERROR(FIND({"省","市","区","县"},A475),0))-1+2)</f>
        <v>东海街道</v>
      </c>
      <c r="M475" s="4" t="str" cm="1">
        <f t="array" ref="M475">MID(A475,MAX(IFERROR(FIND({"省"},A475),0),IFERROR(FIND({"市"},A475),0),IFERROR(FIND({"区"},A475),0),IFERROR(FIND({"县"},A475),0))+1,FIND("街道",A475)-MAX(IFERROR(FIND({"省"},A475),0),IFERROR(FIND({"市"},A475),0),IFERROR(FIND({"区"},A475),0),IFERROR(FIND({"县"},A475),0))-1+2)</f>
        <v>东海街道</v>
      </c>
      <c r="O475" s="4" t="str" cm="1">
        <f t="array" ref="O475">_xlfn.LET(_xlpm.fullText,A475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75" s="4" t="str" cm="1">
        <f t="array" ref="Q475">_xlfn.LET(_xlpm.fullText,A475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76" spans="1:17">
      <c r="A476" s="3" t="s">
        <v>217</v>
      </c>
      <c r="K476" s="4" t="str" cm="1">
        <f t="array" ref="K476">MID(A476,MAX(IFERROR(FIND({"省","市","区","县"},A476),0))+1,FIND("街道",A476)-MAX(IFERROR(FIND({"省","市","区","县"},A476),0))-1+2)</f>
        <v>丰泽街道</v>
      </c>
      <c r="M476" s="4" t="str" cm="1">
        <f t="array" ref="M476">MID(A476,MAX(IFERROR(FIND({"省"},A476),0),IFERROR(FIND({"市"},A476),0),IFERROR(FIND({"区"},A476),0),IFERROR(FIND({"县"},A476),0))+1,FIND("街道",A476)-MAX(IFERROR(FIND({"省"},A476),0),IFERROR(FIND({"市"},A476),0),IFERROR(FIND({"区"},A476),0),IFERROR(FIND({"县"},A476),0))-1+2)</f>
        <v>丰泽街道</v>
      </c>
      <c r="O476" s="4" t="str" cm="1">
        <f t="array" ref="O476">_xlfn.LET(_xlpm.fullText,A476,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476" s="4" t="str" cm="1">
        <f t="array" ref="Q476">_xlfn.LET(_xlpm.fullText,A476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477" spans="1:17">
      <c r="A477" s="3" t="s">
        <v>27</v>
      </c>
      <c r="K477" s="4" t="str" cm="1">
        <f t="array" ref="K477">MID(A477,MAX(IFERROR(FIND({"省","市","区","县"},A477),0))+1,FIND("街道",A477)-MAX(IFERROR(FIND({"省","市","区","县"},A477),0))-1+2)</f>
        <v>东海街道</v>
      </c>
      <c r="M477" s="4" t="str" cm="1">
        <f t="array" ref="M477">MID(A477,MAX(IFERROR(FIND({"省"},A477),0),IFERROR(FIND({"市"},A477),0),IFERROR(FIND({"区"},A477),0),IFERROR(FIND({"县"},A477),0))+1,FIND("街道",A477)-MAX(IFERROR(FIND({"省"},A477),0),IFERROR(FIND({"市"},A477),0),IFERROR(FIND({"区"},A477),0),IFERROR(FIND({"县"},A477),0))-1+2)</f>
        <v>东海街道</v>
      </c>
      <c r="O477" s="4" t="str" cm="1">
        <f t="array" ref="O477">_xlfn.LET(_xlpm.fullText,A477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77" s="4" t="str" cm="1">
        <f t="array" ref="Q477">_xlfn.LET(_xlpm.fullText,A477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78" spans="1:17">
      <c r="A478" s="3" t="s">
        <v>195</v>
      </c>
      <c r="K478" s="4" t="str" cm="1">
        <f t="array" ref="K478">MID(A478,MAX(IFERROR(FIND({"省","市","区","县"},A478),0))+1,FIND("街道",A478)-MAX(IFERROR(FIND({"省","市","区","县"},A478),0))-1+2)</f>
        <v>海沧街道</v>
      </c>
      <c r="M478" s="4" t="str" cm="1">
        <f t="array" ref="M478">MID(A478,MAX(IFERROR(FIND({"省"},A478),0),IFERROR(FIND({"市"},A478),0),IFERROR(FIND({"区"},A478),0),IFERROR(FIND({"县"},A478),0))+1,FIND("街道",A478)-MAX(IFERROR(FIND({"省"},A478),0),IFERROR(FIND({"市"},A478),0),IFERROR(FIND({"区"},A478),0),IFERROR(FIND({"县"},A478),0))-1+2)</f>
        <v>海沧街道</v>
      </c>
      <c r="O478" s="4" t="str" cm="1">
        <f t="array" ref="O478">_xlfn.LET(_xlpm.fullText,A478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78" s="4" t="str" cm="1">
        <f t="array" ref="Q478">_xlfn.LET(_xlpm.fullText,A478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79" spans="1:17">
      <c r="A479" s="3" t="s">
        <v>27</v>
      </c>
      <c r="K479" s="4" t="str" cm="1">
        <f t="array" ref="K479">MID(A479,MAX(IFERROR(FIND({"省","市","区","县"},A479),0))+1,FIND("街道",A479)-MAX(IFERROR(FIND({"省","市","区","县"},A479),0))-1+2)</f>
        <v>东海街道</v>
      </c>
      <c r="M479" s="4" t="str" cm="1">
        <f t="array" ref="M479">MID(A479,MAX(IFERROR(FIND({"省"},A479),0),IFERROR(FIND({"市"},A479),0),IFERROR(FIND({"区"},A479),0),IFERROR(FIND({"县"},A479),0))+1,FIND("街道",A479)-MAX(IFERROR(FIND({"省"},A479),0),IFERROR(FIND({"市"},A479),0),IFERROR(FIND({"区"},A479),0),IFERROR(FIND({"县"},A479),0))-1+2)</f>
        <v>东海街道</v>
      </c>
      <c r="O479" s="4" t="str" cm="1">
        <f t="array" ref="O479">_xlfn.LET(_xlpm.fullText,A479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79" s="4" t="str" cm="1">
        <f t="array" ref="Q479">_xlfn.LET(_xlpm.fullText,A479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80" spans="1:17">
      <c r="A480" s="3" t="s">
        <v>54</v>
      </c>
      <c r="K480" s="4" t="str" cm="1">
        <f t="array" ref="K480">MID(A480,MAX(IFERROR(FIND({"省","市","区","县"},A480),0))+1,FIND("街道",A480)-MAX(IFERROR(FIND({"省","市","区","县"},A480),0))-1+2)</f>
        <v>东海街道</v>
      </c>
      <c r="M480" s="4" t="str" cm="1">
        <f t="array" ref="M480">MID(A480,MAX(IFERROR(FIND({"省"},A480),0),IFERROR(FIND({"市"},A480),0),IFERROR(FIND({"区"},A480),0),IFERROR(FIND({"县"},A480),0))+1,FIND("街道",A480)-MAX(IFERROR(FIND({"省"},A480),0),IFERROR(FIND({"市"},A480),0),IFERROR(FIND({"区"},A480),0),IFERROR(FIND({"县"},A480),0))-1+2)</f>
        <v>东海街道</v>
      </c>
      <c r="O480" s="4" t="str" cm="1">
        <f t="array" ref="O480">_xlfn.LET(_xlpm.fullText,A480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80" s="4" t="str" cm="1">
        <f t="array" ref="Q480">_xlfn.LET(_xlpm.fullText,A480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81" spans="1:17">
      <c r="A481" s="3" t="s">
        <v>27</v>
      </c>
      <c r="K481" s="4" t="str" cm="1">
        <f t="array" ref="K481">MID(A481,MAX(IFERROR(FIND({"省","市","区","县"},A481),0))+1,FIND("街道",A481)-MAX(IFERROR(FIND({"省","市","区","县"},A481),0))-1+2)</f>
        <v>东海街道</v>
      </c>
      <c r="M481" s="4" t="str" cm="1">
        <f t="array" ref="M481">MID(A481,MAX(IFERROR(FIND({"省"},A481),0),IFERROR(FIND({"市"},A481),0),IFERROR(FIND({"区"},A481),0),IFERROR(FIND({"县"},A481),0))+1,FIND("街道",A481)-MAX(IFERROR(FIND({"省"},A481),0),IFERROR(FIND({"市"},A481),0),IFERROR(FIND({"区"},A481),0),IFERROR(FIND({"县"},A481),0))-1+2)</f>
        <v>东海街道</v>
      </c>
      <c r="O481" s="4" t="str" cm="1">
        <f t="array" ref="O481">_xlfn.LET(_xlpm.fullText,A481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81" s="4" t="str" cm="1">
        <f t="array" ref="Q481">_xlfn.LET(_xlpm.fullText,A481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82" spans="1:17">
      <c r="A482" s="3" t="s">
        <v>27</v>
      </c>
      <c r="K482" s="4" t="str" cm="1">
        <f t="array" ref="K482">MID(A482,MAX(IFERROR(FIND({"省","市","区","县"},A482),0))+1,FIND("街道",A482)-MAX(IFERROR(FIND({"省","市","区","县"},A482),0))-1+2)</f>
        <v>东海街道</v>
      </c>
      <c r="M482" s="4" t="str" cm="1">
        <f t="array" ref="M482">MID(A482,MAX(IFERROR(FIND({"省"},A482),0),IFERROR(FIND({"市"},A482),0),IFERROR(FIND({"区"},A482),0),IFERROR(FIND({"县"},A482),0))+1,FIND("街道",A482)-MAX(IFERROR(FIND({"省"},A482),0),IFERROR(FIND({"市"},A482),0),IFERROR(FIND({"区"},A482),0),IFERROR(FIND({"县"},A482),0))-1+2)</f>
        <v>东海街道</v>
      </c>
      <c r="O482" s="4" t="str" cm="1">
        <f t="array" ref="O482">_xlfn.LET(_xlpm.fullText,A482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82" s="4" t="str" cm="1">
        <f t="array" ref="Q482">_xlfn.LET(_xlpm.fullText,A482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83" spans="1:17">
      <c r="A483" s="3" t="s">
        <v>54</v>
      </c>
      <c r="K483" s="4" t="str" cm="1">
        <f t="array" ref="K483">MID(A483,MAX(IFERROR(FIND({"省","市","区","县"},A483),0))+1,FIND("街道",A483)-MAX(IFERROR(FIND({"省","市","区","县"},A483),0))-1+2)</f>
        <v>东海街道</v>
      </c>
      <c r="M483" s="4" t="str" cm="1">
        <f t="array" ref="M483">MID(A483,MAX(IFERROR(FIND({"省"},A483),0),IFERROR(FIND({"市"},A483),0),IFERROR(FIND({"区"},A483),0),IFERROR(FIND({"县"},A483),0))+1,FIND("街道",A483)-MAX(IFERROR(FIND({"省"},A483),0),IFERROR(FIND({"市"},A483),0),IFERROR(FIND({"区"},A483),0),IFERROR(FIND({"县"},A483),0))-1+2)</f>
        <v>东海街道</v>
      </c>
      <c r="O483" s="4" t="str" cm="1">
        <f t="array" ref="O483">_xlfn.LET(_xlpm.fullText,A483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83" s="4" t="str" cm="1">
        <f t="array" ref="Q483">_xlfn.LET(_xlpm.fullText,A483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84" spans="1:17">
      <c r="A484" s="3" t="s">
        <v>218</v>
      </c>
      <c r="K484" s="4" t="str" cm="1">
        <f t="array" ref="K484">MID(A484,MAX(IFERROR(FIND({"省","市","区","县"},A484),0))+1,FIND("街道",A484)-MAX(IFERROR(FIND({"省","市","区","县"},A484),0))-1+2)</f>
        <v>海沧街道</v>
      </c>
      <c r="M484" s="4" t="str" cm="1">
        <f t="array" ref="M484">MID(A484,MAX(IFERROR(FIND({"省"},A484),0),IFERROR(FIND({"市"},A484),0),IFERROR(FIND({"区"},A484),0),IFERROR(FIND({"县"},A484),0))+1,FIND("街道",A484)-MAX(IFERROR(FIND({"省"},A484),0),IFERROR(FIND({"市"},A484),0),IFERROR(FIND({"区"},A484),0),IFERROR(FIND({"县"},A484),0))-1+2)</f>
        <v>海沧街道</v>
      </c>
      <c r="O484" s="4" t="str" cm="1">
        <f t="array" ref="O484">_xlfn.LET(_xlpm.fullText,A484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84" s="4" t="str" cm="1">
        <f t="array" ref="Q484">_xlfn.LET(_xlpm.fullText,A484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85" spans="1:17">
      <c r="A485" s="3" t="s">
        <v>219</v>
      </c>
      <c r="K485" s="4" t="str" cm="1">
        <f t="array" ref="K485">MID(A485,MAX(IFERROR(FIND({"省","市","区","县"},A485),0))+1,FIND("街道",A485)-MAX(IFERROR(FIND({"省","市","区","县"},A485),0))-1+2)</f>
        <v>子房街道</v>
      </c>
      <c r="M485" s="4" t="str" cm="1">
        <f t="array" ref="M485">MID(A485,MAX(IFERROR(FIND({"省"},A485),0),IFERROR(FIND({"市"},A485),0),IFERROR(FIND({"区"},A485),0),IFERROR(FIND({"县"},A485),0))+1,FIND("街道",A485)-MAX(IFERROR(FIND({"省"},A485),0),IFERROR(FIND({"市"},A485),0),IFERROR(FIND({"区"},A485),0),IFERROR(FIND({"县"},A485),0))-1+2)</f>
        <v>子房街道</v>
      </c>
      <c r="O485" s="4" t="str" cm="1">
        <f t="array" ref="O485">_xlfn.LET(_xlpm.fullText,A485,_xlpm.streetPos,FIND("街道",_xlpm.fullText)+2,_xlpm.prefixText,LEFT(_xlpm.fullText,_xlpm.streetPos-1),_xlpm.adminPos,MAX(IFERROR(FIND({"省","市","区","县"},_xlpm.prefixText),0)),IF(_xlpm.adminPos&gt;0,MID(_xlpm.prefixText,_xlpm.adminPos+1,_xlpm.streetPos-_xlpm.adminPos-3+2),LEFT(_xlpm.prefixText,FIND("街道",_xlpm.prefixText)-1+2)))</f>
        <v>子房街道</v>
      </c>
      <c r="Q485" s="4" t="str" cm="1">
        <f t="array" ref="Q485">_xlfn.LET(_xlpm.fullText,A485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子房街道</v>
      </c>
    </row>
    <row r="486" spans="1:17">
      <c r="A486" s="3" t="s">
        <v>220</v>
      </c>
      <c r="K486" s="4" t="str" cm="1">
        <f t="array" ref="K486">MID(A486,MAX(IFERROR(FIND({"省","市","区","县"},A486),0))+1,FIND("街道",A486)-MAX(IFERROR(FIND({"省","市","区","县"},A486),0))-1+2)</f>
        <v>鼓楼街道</v>
      </c>
      <c r="M486" s="4" t="str" cm="1">
        <f t="array" ref="M486">MID(A486,MAX(IFERROR(FIND({"省"},A486),0),IFERROR(FIND({"市"},A486),0),IFERROR(FIND({"区"},A486),0),IFERROR(FIND({"县"},A486),0))+1,FIND("街道",A486)-MAX(IFERROR(FIND({"省"},A486),0),IFERROR(FIND({"市"},A486),0),IFERROR(FIND({"区"},A486),0),IFERROR(FIND({"县"},A486),0))-1+2)</f>
        <v>鼓楼街道</v>
      </c>
      <c r="O486" s="4" t="str" cm="1">
        <f t="array" ref="O486">_xlfn.LET(_xlpm.fullText,A486,_xlpm.streetPos,FIND("街道",_xlpm.fullText)+2,_xlpm.prefixText,LEFT(_xlpm.fullText,_xlpm.streetPos-1),_xlpm.adminPos,MAX(IFERROR(FIND({"省","市","区","县"},_xlpm.prefixText),0)),IF(_xlpm.adminPos&gt;0,MID(_xlpm.prefixText,_xlpm.adminPos+1,_xlpm.streetPos-_xlpm.adminPos-3+2),LEFT(_xlpm.prefixText,FIND("街道",_xlpm.prefixText)-1+2)))</f>
        <v>鼓楼街道</v>
      </c>
      <c r="Q486" s="4" t="str" cm="1">
        <f t="array" ref="Q486">_xlfn.LET(_xlpm.fullText,A486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鼓楼街道</v>
      </c>
    </row>
    <row r="487" ht="28.8" spans="1:17">
      <c r="A487" s="3" t="s">
        <v>221</v>
      </c>
      <c r="K487" s="4" t="str" cm="1">
        <f t="array" ref="K487">MID(A487,MAX(IFERROR(FIND({"省","市","区","县"},A487),0))+1,FIND("街道",A487)-MAX(IFERROR(FIND({"省","市","区","县"},A487),0))-1+2)</f>
        <v>长城路街道</v>
      </c>
      <c r="M487" s="4" t="str" cm="1">
        <f t="array" ref="M487">MID(A487,MAX(IFERROR(FIND({"省"},A487),0),IFERROR(FIND({"市"},A487),0),IFERROR(FIND({"区"},A487),0),IFERROR(FIND({"县"},A487),0))+1,FIND("街道",A487)-MAX(IFERROR(FIND({"省"},A487),0),IFERROR(FIND({"市"},A487),0),IFERROR(FIND({"区"},A487),0),IFERROR(FIND({"县"},A487),0))-1+2)</f>
        <v>长城路街道</v>
      </c>
      <c r="O487" s="4" t="str" cm="1">
        <f t="array" ref="O487">_xlfn.LET(_xlpm.fullText,A487,_xlpm.streetPos,FIND("街道",_xlpm.fullText)+2,_xlpm.prefixText,LEFT(_xlpm.fullText,_xlpm.streetPos-1),_xlpm.adminPos,MAX(IFERROR(FIND({"省","市","区","县"},_xlpm.prefixText),0)),IF(_xlpm.adminPos&gt;0,MID(_xlpm.prefixText,_xlpm.adminPos+1,_xlpm.streetPos-_xlpm.adminPos-3+2),LEFT(_xlpm.prefixText,FIND("街道",_xlpm.prefixText)-1+2)))</f>
        <v>长城路街道</v>
      </c>
      <c r="Q487" s="4" t="str" cm="1">
        <f t="array" ref="Q487">_xlfn.LET(_xlpm.fullText,A487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长城路街道</v>
      </c>
    </row>
    <row r="488" spans="1:17">
      <c r="A488" s="3" t="s">
        <v>222</v>
      </c>
      <c r="K488" s="4" t="str" cm="1">
        <f t="array" ref="K488">MID(A488,MAX(IFERROR(FIND({"省","市","区","县"},A488),0))+1,FIND("街道",A488)-MAX(IFERROR(FIND({"省","市","区","县"},A488),0))-1+2)</f>
        <v>文庙街道</v>
      </c>
      <c r="M488" s="4" t="str" cm="1">
        <f t="array" ref="M488">MID(A488,MAX(IFERROR(FIND({"省"},A488),0),IFERROR(FIND({"市"},A488),0),IFERROR(FIND({"区"},A488),0),IFERROR(FIND({"县"},A488),0))+1,FIND("街道",A488)-MAX(IFERROR(FIND({"省"},A488),0),IFERROR(FIND({"市"},A488),0),IFERROR(FIND({"区"},A488),0),IFERROR(FIND({"县"},A488),0))-1+2)</f>
        <v>文庙街道</v>
      </c>
      <c r="O488" s="4" t="str" cm="1">
        <f t="array" ref="O488">_xlfn.LET(_xlpm.fullText,A488,_xlpm.streetPos,FIND("街道",_xlpm.fullText)+2,_xlpm.prefixText,LEFT(_xlpm.fullText,_xlpm.streetPos-1),_xlpm.adminPos,MAX(IFERROR(FIND({"省","市","区","县"},_xlpm.prefixText),0)),IF(_xlpm.adminPos&gt;0,MID(_xlpm.prefixText,_xlpm.adminPos+1,_xlpm.streetPos-_xlpm.adminPos-3+2),LEFT(_xlpm.prefixText,FIND("街道",_xlpm.prefixText)-1+2)))</f>
        <v>文庙街道</v>
      </c>
      <c r="Q488" s="4" t="str" cm="1">
        <f t="array" ref="Q488">_xlfn.LET(_xlpm.fullText,A488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文庙街道</v>
      </c>
    </row>
    <row r="489" spans="1:17">
      <c r="A489" s="3" t="s">
        <v>214</v>
      </c>
      <c r="K489" s="4" t="str" cm="1">
        <f t="array" ref="K489">MID(A489,MAX(IFERROR(FIND({"省","市","区","县"},A489),0))+1,FIND("街道",A489)-MAX(IFERROR(FIND({"省","市","区","县"},A489),0))-1+2)</f>
        <v>海沧街道</v>
      </c>
      <c r="M489" s="4" t="str" cm="1">
        <f t="array" ref="M489">MID(A489,MAX(IFERROR(FIND({"省"},A489),0),IFERROR(FIND({"市"},A489),0),IFERROR(FIND({"区"},A489),0),IFERROR(FIND({"县"},A489),0))+1,FIND("街道",A489)-MAX(IFERROR(FIND({"省"},A489),0),IFERROR(FIND({"市"},A489),0),IFERROR(FIND({"区"},A489),0),IFERROR(FIND({"县"},A489),0))-1+2)</f>
        <v>海沧街道</v>
      </c>
      <c r="O489" s="4" t="str" cm="1">
        <f t="array" ref="O489">_xlfn.LET(_xlpm.fullText,A489,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89" s="4" t="str" cm="1">
        <f t="array" ref="Q489">_xlfn.LET(_xlpm.fullText,A489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90" spans="1:17">
      <c r="A490" s="3" t="s">
        <v>54</v>
      </c>
      <c r="K490" s="4" t="str" cm="1">
        <f t="array" ref="K490">MID(A490,MAX(IFERROR(FIND({"省","市","区","县"},A490),0))+1,FIND("街道",A490)-MAX(IFERROR(FIND({"省","市","区","县"},A490),0))-1+2)</f>
        <v>东海街道</v>
      </c>
      <c r="M490" s="4" t="str" cm="1">
        <f t="array" ref="M490">MID(A490,MAX(IFERROR(FIND({"省"},A490),0),IFERROR(FIND({"市"},A490),0),IFERROR(FIND({"区"},A490),0),IFERROR(FIND({"县"},A490),0))+1,FIND("街道",A490)-MAX(IFERROR(FIND({"省"},A490),0),IFERROR(FIND({"市"},A490),0),IFERROR(FIND({"区"},A490),0),IFERROR(FIND({"县"},A490),0))-1+2)</f>
        <v>东海街道</v>
      </c>
      <c r="O490" s="4" t="str" cm="1">
        <f t="array" ref="O490">_xlfn.LET(_xlpm.fullText,A490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90" s="4" t="str" cm="1">
        <f t="array" ref="Q490">_xlfn.LET(_xlpm.fullText,A490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91" spans="1:17">
      <c r="A491" s="3" t="s">
        <v>223</v>
      </c>
      <c r="K491" s="4" t="str" cm="1">
        <f t="array" ref="K491">MID(A491,MAX(IFERROR(FIND({"省","市","区","县"},A491),0))+1,FIND("街道",A491)-MAX(IFERROR(FIND({"省","市","区","县"},A491),0))-1+2)</f>
        <v>东孚街道</v>
      </c>
      <c r="M491" s="4" t="str" cm="1">
        <f t="array" ref="M491">MID(A491,MAX(IFERROR(FIND({"省"},A491),0),IFERROR(FIND({"市"},A491),0),IFERROR(FIND({"区"},A491),0),IFERROR(FIND({"县"},A491),0))+1,FIND("街道",A491)-MAX(IFERROR(FIND({"省"},A491),0),IFERROR(FIND({"市"},A491),0),IFERROR(FIND({"区"},A491),0),IFERROR(FIND({"县"},A491),0))-1+2)</f>
        <v>东孚街道</v>
      </c>
      <c r="O491" s="4" t="str" cm="1">
        <f t="array" ref="O491">_xlfn.LET(_xlpm.fullText,A491,_xlpm.streetPos,FIND("街道",_xlpm.fullText)+2,_xlpm.prefixText,LEFT(_xlpm.fullText,_xlpm.streetPos-1),_xlpm.adminPos,MAX(IFERROR(FIND({"省","市","区","县"},_xlpm.prefixText),0)),IF(_xlpm.adminPos&gt;0,MID(_xlpm.prefixText,_xlpm.adminPos+1,_xlpm.streetPos-_xlpm.adminPos-3+2),LEFT(_xlpm.prefixText,FIND("街道",_xlpm.prefixText)-1+2)))</f>
        <v>东孚街道</v>
      </c>
      <c r="Q491" s="4" t="str" cm="1">
        <f t="array" ref="Q491">_xlfn.LET(_xlpm.fullText,A491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东孚街道</v>
      </c>
    </row>
    <row r="492" spans="1:17">
      <c r="A492" s="3" t="s">
        <v>195</v>
      </c>
      <c r="K492" s="4" t="str" cm="1">
        <f t="array" ref="K492">MID(A492,MAX(IFERROR(FIND({"省","市","区","县"},A492),0))+1,FIND("街道",A492)-MAX(IFERROR(FIND({"省","市","区","县"},A492),0))-1+2)</f>
        <v>海沧街道</v>
      </c>
      <c r="M492" s="4" t="str" cm="1">
        <f t="array" ref="M492">MID(A492,MAX(IFERROR(FIND({"省"},A492),0),IFERROR(FIND({"市"},A492),0),IFERROR(FIND({"区"},A492),0),IFERROR(FIND({"县"},A492),0))+1,FIND("街道",A492)-MAX(IFERROR(FIND({"省"},A492),0),IFERROR(FIND({"市"},A492),0),IFERROR(FIND({"区"},A492),0),IFERROR(FIND({"县"},A492),0))-1+2)</f>
        <v>海沧街道</v>
      </c>
      <c r="O492" s="4" t="str" cm="1">
        <f t="array" ref="O492">_xlfn.LET(_xlpm.fullText,A492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92" s="4" t="str" cm="1">
        <f t="array" ref="Q492">_xlfn.LET(_xlpm.fullText,A492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93" spans="1:17">
      <c r="A493" s="3" t="s">
        <v>179</v>
      </c>
      <c r="K493" s="4" t="str" cm="1">
        <f t="array" ref="K493">MID(A493,MAX(IFERROR(FIND({"省","市","区","县"},A493),0))+1,FIND("街道",A493)-MAX(IFERROR(FIND({"省","市","区","县"},A493),0))-1+2)</f>
        <v>海沧街道</v>
      </c>
      <c r="M493" s="4" t="str" cm="1">
        <f t="array" ref="M493">MID(A493,MAX(IFERROR(FIND({"省"},A493),0),IFERROR(FIND({"市"},A493),0),IFERROR(FIND({"区"},A493),0),IFERROR(FIND({"县"},A493),0))+1,FIND("街道",A493)-MAX(IFERROR(FIND({"省"},A493),0),IFERROR(FIND({"市"},A493),0),IFERROR(FIND({"区"},A493),0),IFERROR(FIND({"县"},A493),0))-1+2)</f>
        <v>海沧街道</v>
      </c>
      <c r="O493" s="4" t="str" cm="1">
        <f t="array" ref="O493">_xlfn.LET(_xlpm.fullText,A493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93" s="4" t="str" cm="1">
        <f t="array" ref="Q493">_xlfn.LET(_xlpm.fullText,A493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94" spans="1:17">
      <c r="A494" s="3" t="s">
        <v>224</v>
      </c>
      <c r="K494" s="4" t="str" cm="1">
        <f t="array" ref="K494">MID(A494,MAX(IFERROR(FIND({"省","市","区","县"},A494),0))+1,FIND("街道",A494)-MAX(IFERROR(FIND({"省","市","区","县"},A494),0))-1+2)</f>
        <v>海沧街道</v>
      </c>
      <c r="M494" s="4" t="str" cm="1">
        <f t="array" ref="M494">MID(A494,MAX(IFERROR(FIND({"省"},A494),0),IFERROR(FIND({"市"},A494),0),IFERROR(FIND({"区"},A494),0),IFERROR(FIND({"县"},A494),0))+1,FIND("街道",A494)-MAX(IFERROR(FIND({"省"},A494),0),IFERROR(FIND({"市"},A494),0),IFERROR(FIND({"区"},A494),0),IFERROR(FIND({"县"},A494),0))-1+2)</f>
        <v>海沧街道</v>
      </c>
      <c r="O494" s="4" t="str" cm="1">
        <f t="array" ref="O494">_xlfn.LET(_xlpm.fullText,A494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494" s="4" t="str" cm="1">
        <f t="array" ref="Q494">_xlfn.LET(_xlpm.fullText,A494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495" spans="1:17">
      <c r="A495" s="3" t="s">
        <v>225</v>
      </c>
      <c r="K495" s="4" t="str" cm="1">
        <f t="array" ref="K495">MID(A495,MAX(IFERROR(FIND({"省","市","区","县"},A495),0))+1,FIND("街道",A495)-MAX(IFERROR(FIND({"省","市","区","县"},A495),0))-1+2)</f>
        <v>湖里街道</v>
      </c>
      <c r="M495" s="4" t="str" cm="1">
        <f t="array" ref="M495">MID(A495,MAX(IFERROR(FIND({"省"},A495),0),IFERROR(FIND({"市"},A495),0),IFERROR(FIND({"区"},A495),0),IFERROR(FIND({"县"},A495),0))+1,FIND("街道",A495)-MAX(IFERROR(FIND({"省"},A495),0),IFERROR(FIND({"市"},A495),0),IFERROR(FIND({"区"},A495),0),IFERROR(FIND({"县"},A495),0))-1+2)</f>
        <v>湖里街道</v>
      </c>
      <c r="O495" s="4" t="str" cm="1">
        <f t="array" ref="O495">_xlfn.LET(_xlpm.fullText,A495,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495" s="4" t="str" cm="1">
        <f t="array" ref="Q495">_xlfn.LET(_xlpm.fullText,A495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496" spans="1:17">
      <c r="A496" s="3" t="s">
        <v>226</v>
      </c>
      <c r="K496" s="4" t="str" cm="1">
        <f t="array" ref="K496">MID(A496,MAX(IFERROR(FIND({"省","市","区","县"},A496),0))+1,FIND("街道",A496)-MAX(IFERROR(FIND({"省","市","区","县"},A496),0))-1+2)</f>
        <v>筼筜街道</v>
      </c>
      <c r="M496" s="4" t="str" cm="1">
        <f t="array" ref="M496">MID(A496,MAX(IFERROR(FIND({"省"},A496),0),IFERROR(FIND({"市"},A496),0),IFERROR(FIND({"区"},A496),0),IFERROR(FIND({"县"},A496),0))+1,FIND("街道",A496)-MAX(IFERROR(FIND({"省"},A496),0),IFERROR(FIND({"市"},A496),0),IFERROR(FIND({"区"},A496),0),IFERROR(FIND({"县"},A496),0))-1+2)</f>
        <v>筼筜街道</v>
      </c>
      <c r="O496" s="4" t="str" cm="1">
        <f t="array" ref="O496">_xlfn.LET(_xlpm.fullText,A496,_xlpm.streetPos,FIND("街道",_xlpm.fullText)+2,_xlpm.prefixText,LEFT(_xlpm.fullText,_xlpm.streetPos-1),_xlpm.adminPos,MAX(IFERROR(FIND({"省","市","区","县"},_xlpm.prefixText),0)),IF(_xlpm.adminPos&gt;0,MID(_xlpm.prefixText,_xlpm.adminPos+1,_xlpm.streetPos-_xlpm.adminPos-3+2),LEFT(_xlpm.prefixText,FIND("街道",_xlpm.prefixText)-1+2)))</f>
        <v>筼筜街道</v>
      </c>
      <c r="Q496" s="4" t="str" cm="1">
        <f t="array" ref="Q496">_xlfn.LET(_xlpm.fullText,A496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筼筜街道</v>
      </c>
    </row>
    <row r="497" spans="1:17">
      <c r="A497" s="3" t="s">
        <v>227</v>
      </c>
      <c r="K497" s="4" t="str" cm="1">
        <f t="array" ref="K497">MID(A497,MAX(IFERROR(FIND({"省","市","区","县"},A497),0))+1,FIND("街道",A497)-MAX(IFERROR(FIND({"省","市","区","县"},A497),0))-1+2)</f>
        <v>中华街道</v>
      </c>
      <c r="M497" s="4" t="str" cm="1">
        <f t="array" ref="M497">MID(A497,MAX(IFERROR(FIND({"省"},A497),0),IFERROR(FIND({"市"},A497),0),IFERROR(FIND({"区"},A497),0),IFERROR(FIND({"县"},A497),0))+1,FIND("街道",A497)-MAX(IFERROR(FIND({"省"},A497),0),IFERROR(FIND({"市"},A497),0),IFERROR(FIND({"区"},A497),0),IFERROR(FIND({"县"},A497),0))-1+2)</f>
        <v>中华街道</v>
      </c>
      <c r="O497" s="4" t="str" cm="1">
        <f t="array" ref="O497">_xlfn.LET(_xlpm.fullText,A497,_xlpm.streetPos,FIND("街道",_xlpm.fullText)+2,_xlpm.prefixText,LEFT(_xlpm.fullText,_xlpm.streetPos-1),_xlpm.adminPos,MAX(IFERROR(FIND({"省","市","区","县"},_xlpm.prefixText),0)),IF(_xlpm.adminPos&gt;0,MID(_xlpm.prefixText,_xlpm.adminPos+1,_xlpm.streetPos-_xlpm.adminPos-3+2),LEFT(_xlpm.prefixText,FIND("街道",_xlpm.prefixText)-1+2)))</f>
        <v>中华街道</v>
      </c>
      <c r="Q497" s="4" t="str" cm="1">
        <f t="array" ref="Q497">_xlfn.LET(_xlpm.fullText,A497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中华街道</v>
      </c>
    </row>
    <row r="498" spans="1:17">
      <c r="A498" s="3" t="s">
        <v>27</v>
      </c>
      <c r="K498" s="4" t="str" cm="1">
        <f t="array" ref="K498">MID(A498,MAX(IFERROR(FIND({"省","市","区","县"},A498),0))+1,FIND("街道",A498)-MAX(IFERROR(FIND({"省","市","区","县"},A498),0))-1+2)</f>
        <v>东海街道</v>
      </c>
      <c r="M498" s="4" t="str" cm="1">
        <f t="array" ref="M498">MID(A498,MAX(IFERROR(FIND({"省"},A498),0),IFERROR(FIND({"市"},A498),0),IFERROR(FIND({"区"},A498),0),IFERROR(FIND({"县"},A498),0))+1,FIND("街道",A498)-MAX(IFERROR(FIND({"省"},A498),0),IFERROR(FIND({"市"},A498),0),IFERROR(FIND({"区"},A498),0),IFERROR(FIND({"县"},A498),0))-1+2)</f>
        <v>东海街道</v>
      </c>
      <c r="O498" s="4" t="str" cm="1">
        <f t="array" ref="O498">_xlfn.LET(_xlpm.fullText,A498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98" s="4" t="str" cm="1">
        <f t="array" ref="Q498">_xlfn.LET(_xlpm.fullText,A498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499" spans="1:17">
      <c r="A499" s="3" t="s">
        <v>27</v>
      </c>
      <c r="K499" s="4" t="str" cm="1">
        <f t="array" ref="K499">MID(A499,MAX(IFERROR(FIND({"省","市","区","县"},A499),0))+1,FIND("街道",A499)-MAX(IFERROR(FIND({"省","市","区","县"},A499),0))-1+2)</f>
        <v>东海街道</v>
      </c>
      <c r="M499" s="4" t="str" cm="1">
        <f t="array" ref="M499">MID(A499,MAX(IFERROR(FIND({"省"},A499),0),IFERROR(FIND({"市"},A499),0),IFERROR(FIND({"区"},A499),0),IFERROR(FIND({"县"},A499),0))+1,FIND("街道",A499)-MAX(IFERROR(FIND({"省"},A499),0),IFERROR(FIND({"市"},A499),0),IFERROR(FIND({"区"},A499),0),IFERROR(FIND({"县"},A499),0))-1+2)</f>
        <v>东海街道</v>
      </c>
      <c r="O499" s="4" t="str" cm="1">
        <f t="array" ref="O499">_xlfn.LET(_xlpm.fullText,A499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499" s="4" t="str" cm="1">
        <f t="array" ref="Q499">_xlfn.LET(_xlpm.fullText,A499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00" spans="1:17">
      <c r="A500" s="3" t="s">
        <v>228</v>
      </c>
      <c r="K500" s="4" t="str" cm="1">
        <f t="array" ref="K500">MID(A500,MAX(IFERROR(FIND({"省","市","区","县"},A500),0))+1,FIND("街道",A500)-MAX(IFERROR(FIND({"省","市","区","县"},A500),0))-1+2)</f>
        <v>海沧街道</v>
      </c>
      <c r="M500" s="4" t="str" cm="1">
        <f t="array" ref="M500">MID(A500,MAX(IFERROR(FIND({"省"},A500),0),IFERROR(FIND({"市"},A500),0),IFERROR(FIND({"区"},A500),0),IFERROR(FIND({"县"},A500),0))+1,FIND("街道",A500)-MAX(IFERROR(FIND({"省"},A500),0),IFERROR(FIND({"市"},A500),0),IFERROR(FIND({"区"},A500),0),IFERROR(FIND({"县"},A500),0))-1+2)</f>
        <v>海沧街道</v>
      </c>
      <c r="O500" s="4" t="str" cm="1">
        <f t="array" ref="O500">_xlfn.LET(_xlpm.fullText,A500,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00" s="4" t="str" cm="1">
        <f t="array" ref="Q500">_xlfn.LET(_xlpm.fullText,A500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01" spans="1:17">
      <c r="A501" s="3" t="s">
        <v>229</v>
      </c>
      <c r="K501" s="4" t="str" cm="1">
        <f t="array" ref="K501">MID(A501,MAX(IFERROR(FIND({"省","市","区","县"},A501),0))+1,FIND("街道",A501)-MAX(IFERROR(FIND({"省","市","区","县"},A501),0))-1+2)</f>
        <v>海沧街道</v>
      </c>
      <c r="M501" s="4" t="str" cm="1">
        <f t="array" ref="M501">MID(A501,MAX(IFERROR(FIND({"省"},A501),0),IFERROR(FIND({"市"},A501),0),IFERROR(FIND({"区"},A501),0),IFERROR(FIND({"县"},A501),0))+1,FIND("街道",A501)-MAX(IFERROR(FIND({"省"},A501),0),IFERROR(FIND({"市"},A501),0),IFERROR(FIND({"区"},A501),0),IFERROR(FIND({"县"},A501),0))-1+2)</f>
        <v>海沧街道</v>
      </c>
      <c r="O501" s="4" t="str" cm="1">
        <f t="array" ref="O501">_xlfn.LET(_xlpm.fullText,A501,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01" s="4" t="str" cm="1">
        <f t="array" ref="Q501">_xlfn.LET(_xlpm.fullText,A501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02" spans="1:17">
      <c r="A502" s="3" t="s">
        <v>27</v>
      </c>
      <c r="K502" s="4" t="str" cm="1">
        <f t="array" ref="K502">MID(A502,MAX(IFERROR(FIND({"省","市","区","县"},A502),0))+1,FIND("街道",A502)-MAX(IFERROR(FIND({"省","市","区","县"},A502),0))-1+2)</f>
        <v>东海街道</v>
      </c>
      <c r="M502" s="4" t="str" cm="1">
        <f t="array" ref="M502">MID(A502,MAX(IFERROR(FIND({"省"},A502),0),IFERROR(FIND({"市"},A502),0),IFERROR(FIND({"区"},A502),0),IFERROR(FIND({"县"},A502),0))+1,FIND("街道",A502)-MAX(IFERROR(FIND({"省"},A502),0),IFERROR(FIND({"市"},A502),0),IFERROR(FIND({"区"},A502),0),IFERROR(FIND({"县"},A502),0))-1+2)</f>
        <v>东海街道</v>
      </c>
      <c r="O502" s="4" t="str" cm="1">
        <f t="array" ref="O502">_xlfn.LET(_xlpm.fullText,A502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02" s="4" t="str" cm="1">
        <f t="array" ref="Q502">_xlfn.LET(_xlpm.fullText,A502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03" spans="1:17">
      <c r="A503" s="3" t="s">
        <v>27</v>
      </c>
      <c r="K503" s="4" t="str" cm="1">
        <f t="array" ref="K503">MID(A503,MAX(IFERROR(FIND({"省","市","区","县"},A503),0))+1,FIND("街道",A503)-MAX(IFERROR(FIND({"省","市","区","县"},A503),0))-1+2)</f>
        <v>东海街道</v>
      </c>
      <c r="M503" s="4" t="str" cm="1">
        <f t="array" ref="M503">MID(A503,MAX(IFERROR(FIND({"省"},A503),0),IFERROR(FIND({"市"},A503),0),IFERROR(FIND({"区"},A503),0),IFERROR(FIND({"县"},A503),0))+1,FIND("街道",A503)-MAX(IFERROR(FIND({"省"},A503),0),IFERROR(FIND({"市"},A503),0),IFERROR(FIND({"区"},A503),0),IFERROR(FIND({"县"},A503),0))-1+2)</f>
        <v>东海街道</v>
      </c>
      <c r="O503" s="4" t="str" cm="1">
        <f t="array" ref="O503">_xlfn.LET(_xlpm.fullText,A503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03" s="4" t="str" cm="1">
        <f t="array" ref="Q503">_xlfn.LET(_xlpm.fullText,A503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04" spans="1:17">
      <c r="A504" s="3" t="s">
        <v>195</v>
      </c>
      <c r="K504" s="4" t="str" cm="1">
        <f t="array" ref="K504">MID(A504,MAX(IFERROR(FIND({"省","市","区","县"},A504),0))+1,FIND("街道",A504)-MAX(IFERROR(FIND({"省","市","区","县"},A504),0))-1+2)</f>
        <v>海沧街道</v>
      </c>
      <c r="M504" s="4" t="str" cm="1">
        <f t="array" ref="M504">MID(A504,MAX(IFERROR(FIND({"省"},A504),0),IFERROR(FIND({"市"},A504),0),IFERROR(FIND({"区"},A504),0),IFERROR(FIND({"县"},A504),0))+1,FIND("街道",A504)-MAX(IFERROR(FIND({"省"},A504),0),IFERROR(FIND({"市"},A504),0),IFERROR(FIND({"区"},A504),0),IFERROR(FIND({"县"},A504),0))-1+2)</f>
        <v>海沧街道</v>
      </c>
      <c r="O504" s="4" t="str" cm="1">
        <f t="array" ref="O504">_xlfn.LET(_xlpm.fullText,A504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04" s="4" t="str" cm="1">
        <f t="array" ref="Q504">_xlfn.LET(_xlpm.fullText,A504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05" spans="1:17">
      <c r="A505" s="3" t="s">
        <v>195</v>
      </c>
      <c r="K505" s="4" t="str" cm="1">
        <f t="array" ref="K505">MID(A505,MAX(IFERROR(FIND({"省","市","区","县"},A505),0))+1,FIND("街道",A505)-MAX(IFERROR(FIND({"省","市","区","县"},A505),0))-1+2)</f>
        <v>海沧街道</v>
      </c>
      <c r="M505" s="4" t="str" cm="1">
        <f t="array" ref="M505">MID(A505,MAX(IFERROR(FIND({"省"},A505),0),IFERROR(FIND({"市"},A505),0),IFERROR(FIND({"区"},A505),0),IFERROR(FIND({"县"},A505),0))+1,FIND("街道",A505)-MAX(IFERROR(FIND({"省"},A505),0),IFERROR(FIND({"市"},A505),0),IFERROR(FIND({"区"},A505),0),IFERROR(FIND({"县"},A505),0))-1+2)</f>
        <v>海沧街道</v>
      </c>
      <c r="O505" s="4" t="str" cm="1">
        <f t="array" ref="O505">_xlfn.LET(_xlpm.fullText,A505,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05" s="4" t="str" cm="1">
        <f t="array" ref="Q505">_xlfn.LET(_xlpm.fullText,A505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06" spans="1:17">
      <c r="A506" s="3" t="s">
        <v>74</v>
      </c>
      <c r="K506" s="4" t="str" cm="1">
        <f t="array" ref="K506">MID(A506,MAX(IFERROR(FIND({"省","市","区","县"},A506),0))+1,FIND("街道",A506)-MAX(IFERROR(FIND({"省","市","区","县"},A506),0))-1+2)</f>
        <v>湖里街道</v>
      </c>
      <c r="M506" s="4" t="str" cm="1">
        <f t="array" ref="M506">MID(A506,MAX(IFERROR(FIND({"省"},A506),0),IFERROR(FIND({"市"},A506),0),IFERROR(FIND({"区"},A506),0),IFERROR(FIND({"县"},A506),0))+1,FIND("街道",A506)-MAX(IFERROR(FIND({"省"},A506),0),IFERROR(FIND({"市"},A506),0),IFERROR(FIND({"区"},A506),0),IFERROR(FIND({"县"},A506),0))-1+2)</f>
        <v>湖里街道</v>
      </c>
      <c r="O506" s="4" t="str" cm="1">
        <f t="array" ref="O506">_xlfn.LET(_xlpm.fullText,A506,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506" s="4" t="str" cm="1">
        <f t="array" ref="Q506">_xlfn.LET(_xlpm.fullText,A506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507" spans="1:17">
      <c r="A507" s="3" t="s">
        <v>202</v>
      </c>
      <c r="K507" s="4" t="str" cm="1">
        <f t="array" ref="K507">MID(A507,MAX(IFERROR(FIND({"省","市","区","县"},A507),0))+1,FIND("街道",A507)-MAX(IFERROR(FIND({"省","市","区","县"},A507),0))-1+2)</f>
        <v>东海街道</v>
      </c>
      <c r="M507" s="4" t="str" cm="1">
        <f t="array" ref="M507">MID(A507,MAX(IFERROR(FIND({"省"},A507),0),IFERROR(FIND({"市"},A507),0),IFERROR(FIND({"区"},A507),0),IFERROR(FIND({"县"},A507),0))+1,FIND("街道",A507)-MAX(IFERROR(FIND({"省"},A507),0),IFERROR(FIND({"市"},A507),0),IFERROR(FIND({"区"},A507),0),IFERROR(FIND({"县"},A507),0))-1+2)</f>
        <v>东海街道</v>
      </c>
      <c r="O507" s="4" t="str" cm="1">
        <f t="array" ref="O507">_xlfn.LET(_xlpm.fullText,A507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07" s="4" t="str" cm="1">
        <f t="array" ref="Q507">_xlfn.LET(_xlpm.fullText,A507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08" spans="1:17">
      <c r="A508" s="3" t="s">
        <v>230</v>
      </c>
      <c r="K508" s="4" t="str" cm="1">
        <f t="array" ref="K508">MID(A508,MAX(IFERROR(FIND({"省","市","区","县"},A508),0))+1,FIND("街道",A508)-MAX(IFERROR(FIND({"省","市","区","县"},A508),0))-1+2)</f>
        <v>海沧街道</v>
      </c>
      <c r="M508" s="4" t="str" cm="1">
        <f t="array" ref="M508">MID(A508,MAX(IFERROR(FIND({"省"},A508),0),IFERROR(FIND({"市"},A508),0),IFERROR(FIND({"区"},A508),0),IFERROR(FIND({"县"},A508),0))+1,FIND("街道",A508)-MAX(IFERROR(FIND({"省"},A508),0),IFERROR(FIND({"市"},A508),0),IFERROR(FIND({"区"},A508),0),IFERROR(FIND({"县"},A508),0))-1+2)</f>
        <v>海沧街道</v>
      </c>
      <c r="O508" s="4" t="str" cm="1">
        <f t="array" ref="O508">_xlfn.LET(_xlpm.fullText,A508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08" s="4" t="str" cm="1">
        <f t="array" ref="Q508">_xlfn.LET(_xlpm.fullText,A508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09" spans="1:17">
      <c r="A509" s="3" t="s">
        <v>27</v>
      </c>
      <c r="K509" s="4" t="str" cm="1">
        <f t="array" ref="K509">MID(A509,MAX(IFERROR(FIND({"省","市","区","县"},A509),0))+1,FIND("街道",A509)-MAX(IFERROR(FIND({"省","市","区","县"},A509),0))-1+2)</f>
        <v>东海街道</v>
      </c>
      <c r="M509" s="4" t="str" cm="1">
        <f t="array" ref="M509">MID(A509,MAX(IFERROR(FIND({"省"},A509),0),IFERROR(FIND({"市"},A509),0),IFERROR(FIND({"区"},A509),0),IFERROR(FIND({"县"},A509),0))+1,FIND("街道",A509)-MAX(IFERROR(FIND({"省"},A509),0),IFERROR(FIND({"市"},A509),0),IFERROR(FIND({"区"},A509),0),IFERROR(FIND({"县"},A509),0))-1+2)</f>
        <v>东海街道</v>
      </c>
      <c r="O509" s="4" t="str" cm="1">
        <f t="array" ref="O509">_xlfn.LET(_xlpm.fullText,A509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09" s="4" t="str" cm="1">
        <f t="array" ref="Q509">_xlfn.LET(_xlpm.fullText,A509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10" spans="1:17">
      <c r="A510" s="3" t="s">
        <v>27</v>
      </c>
      <c r="K510" s="4" t="str" cm="1">
        <f t="array" ref="K510">MID(A510,MAX(IFERROR(FIND({"省","市","区","县"},A510),0))+1,FIND("街道",A510)-MAX(IFERROR(FIND({"省","市","区","县"},A510),0))-1+2)</f>
        <v>东海街道</v>
      </c>
      <c r="M510" s="4" t="str" cm="1">
        <f t="array" ref="M510">MID(A510,MAX(IFERROR(FIND({"省"},A510),0),IFERROR(FIND({"市"},A510),0),IFERROR(FIND({"区"},A510),0),IFERROR(FIND({"县"},A510),0))+1,FIND("街道",A510)-MAX(IFERROR(FIND({"省"},A510),0),IFERROR(FIND({"市"},A510),0),IFERROR(FIND({"区"},A510),0),IFERROR(FIND({"县"},A510),0))-1+2)</f>
        <v>东海街道</v>
      </c>
      <c r="O510" s="4" t="str" cm="1">
        <f t="array" ref="O510">_xlfn.LET(_xlpm.fullText,A510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10" s="4" t="str" cm="1">
        <f t="array" ref="Q510">_xlfn.LET(_xlpm.fullText,A510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11" spans="1:17">
      <c r="A511" s="3" t="s">
        <v>231</v>
      </c>
      <c r="K511" s="4" t="str" cm="1">
        <f t="array" ref="K511">MID(A511,MAX(IFERROR(FIND({"省","市","区","县"},A511),0))+1,FIND("街道",A511)-MAX(IFERROR(FIND({"省","市","区","县"},A511),0))-1+2)</f>
        <v>鹭江街道</v>
      </c>
      <c r="M511" s="4" t="str" cm="1">
        <f t="array" ref="M511">MID(A511,MAX(IFERROR(FIND({"省"},A511),0),IFERROR(FIND({"市"},A511),0),IFERROR(FIND({"区"},A511),0),IFERROR(FIND({"县"},A511),0))+1,FIND("街道",A511)-MAX(IFERROR(FIND({"省"},A511),0),IFERROR(FIND({"市"},A511),0),IFERROR(FIND({"区"},A511),0),IFERROR(FIND({"县"},A511),0))-1+2)</f>
        <v>鹭江街道</v>
      </c>
      <c r="O511" s="4" t="str" cm="1">
        <f t="array" ref="O511">_xlfn.LET(_xlpm.fullText,A511,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11" s="4" t="str" cm="1">
        <f t="array" ref="Q511">_xlfn.LET(_xlpm.fullText,A511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12" spans="1:17">
      <c r="A512" s="3" t="s">
        <v>27</v>
      </c>
      <c r="K512" s="4" t="str" cm="1">
        <f t="array" ref="K512">MID(A512,MAX(IFERROR(FIND({"省","市","区","县"},A512),0))+1,FIND("街道",A512)-MAX(IFERROR(FIND({"省","市","区","县"},A512),0))-1+2)</f>
        <v>东海街道</v>
      </c>
      <c r="M512" s="4" t="str" cm="1">
        <f t="array" ref="M512">MID(A512,MAX(IFERROR(FIND({"省"},A512),0),IFERROR(FIND({"市"},A512),0),IFERROR(FIND({"区"},A512),0),IFERROR(FIND({"县"},A512),0))+1,FIND("街道",A512)-MAX(IFERROR(FIND({"省"},A512),0),IFERROR(FIND({"市"},A512),0),IFERROR(FIND({"区"},A512),0),IFERROR(FIND({"县"},A512),0))-1+2)</f>
        <v>东海街道</v>
      </c>
      <c r="O512" s="4" t="str" cm="1">
        <f t="array" ref="O512">_xlfn.LET(_xlpm.fullText,A512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12" s="4" t="str" cm="1">
        <f t="array" ref="Q512">_xlfn.LET(_xlpm.fullText,A512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13" ht="28.8" spans="1:17">
      <c r="A513" s="3" t="s">
        <v>160</v>
      </c>
      <c r="K513" s="4" t="str" cm="1">
        <f t="array" ref="K513">MID(A513,MAX(IFERROR(FIND({"省","市","区","县"},A513),0))+1,FIND("街道",A513)-MAX(IFERROR(FIND({"省","市","区","县"},A513),0))-1+2)</f>
        <v>金山桥街道</v>
      </c>
      <c r="M513" s="4" t="str" cm="1">
        <f t="array" ref="M513">MID(A513,MAX(IFERROR(FIND({"省"},A513),0),IFERROR(FIND({"市"},A513),0),IFERROR(FIND({"区"},A513),0),IFERROR(FIND({"县"},A513),0))+1,FIND("街道",A513)-MAX(IFERROR(FIND({"省"},A513),0),IFERROR(FIND({"市"},A513),0),IFERROR(FIND({"区"},A513),0),IFERROR(FIND({"县"},A513),0))-1+2)</f>
        <v>金山桥街道</v>
      </c>
      <c r="O513" s="4" t="str" cm="1">
        <f t="array" ref="O513">_xlfn.LET(_xlpm.fullText,A513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513" s="4" t="str" cm="1">
        <f t="array" ref="Q513">_xlfn.LET(_xlpm.fullText,A513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514" spans="1:17">
      <c r="A514" s="3" t="s">
        <v>232</v>
      </c>
      <c r="K514" s="4" t="str" cm="1">
        <f t="array" ref="K514">MID(A514,MAX(IFERROR(FIND({"省","市","区","县"},A514),0))+1,FIND("街道",A514)-MAX(IFERROR(FIND({"省","市","区","县"},A514),0))-1+2)</f>
        <v>底张街道</v>
      </c>
      <c r="M514" s="4" t="str" cm="1">
        <f t="array" ref="M514">MID(A514,MAX(IFERROR(FIND({"省"},A514),0),IFERROR(FIND({"市"},A514),0),IFERROR(FIND({"区"},A514),0),IFERROR(FIND({"县"},A514),0))+1,FIND("街道",A514)-MAX(IFERROR(FIND({"省"},A514),0),IFERROR(FIND({"市"},A514),0),IFERROR(FIND({"区"},A514),0),IFERROR(FIND({"县"},A514),0))-1+2)</f>
        <v>底张街道</v>
      </c>
      <c r="O514" s="4" t="str" cm="1">
        <f t="array" ref="O514">_xlfn.LET(_xlpm.fullText,A514,_xlpm.streetPos,FIND("街道",_xlpm.fullText)+2,_xlpm.prefixText,LEFT(_xlpm.fullText,_xlpm.streetPos-1),_xlpm.adminPos,MAX(IFERROR(FIND({"省","市","区","县"},_xlpm.prefixText),0)),IF(_xlpm.adminPos&gt;0,MID(_xlpm.prefixText,_xlpm.adminPos+1,_xlpm.streetPos-_xlpm.adminPos-3+2),LEFT(_xlpm.prefixText,FIND("街道",_xlpm.prefixText)-1+2)))</f>
        <v>底张街道</v>
      </c>
      <c r="Q514" s="4" t="str" cm="1">
        <f t="array" ref="Q514">_xlfn.LET(_xlpm.fullText,A514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底张街道</v>
      </c>
    </row>
    <row r="515" spans="1:17">
      <c r="A515" s="3" t="s">
        <v>233</v>
      </c>
      <c r="K515" s="4" t="str" cm="1">
        <f t="array" ref="K515">MID(A515,MAX(IFERROR(FIND({"省","市","区","县"},A515),0))+1,FIND("街道",A515)-MAX(IFERROR(FIND({"省","市","区","县"},A515),0))-1+2)</f>
        <v>海沧街道</v>
      </c>
      <c r="M515" s="4" t="str" cm="1">
        <f t="array" ref="M515">MID(A515,MAX(IFERROR(FIND({"省"},A515),0),IFERROR(FIND({"市"},A515),0),IFERROR(FIND({"区"},A515),0),IFERROR(FIND({"县"},A515),0))+1,FIND("街道",A515)-MAX(IFERROR(FIND({"省"},A515),0),IFERROR(FIND({"市"},A515),0),IFERROR(FIND({"区"},A515),0),IFERROR(FIND({"县"},A515),0))-1+2)</f>
        <v>海沧街道</v>
      </c>
      <c r="O515" s="4" t="str" cm="1">
        <f t="array" ref="O515">_xlfn.LET(_xlpm.fullText,A515,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15" s="4" t="str" cm="1">
        <f t="array" ref="Q515">_xlfn.LET(_xlpm.fullText,A515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16" spans="1:17">
      <c r="A516" s="3" t="s">
        <v>27</v>
      </c>
      <c r="K516" s="4" t="str" cm="1">
        <f t="array" ref="K516">MID(A516,MAX(IFERROR(FIND({"省","市","区","县"},A516),0))+1,FIND("街道",A516)-MAX(IFERROR(FIND({"省","市","区","县"},A516),0))-1+2)</f>
        <v>东海街道</v>
      </c>
      <c r="M516" s="4" t="str" cm="1">
        <f t="array" ref="M516">MID(A516,MAX(IFERROR(FIND({"省"},A516),0),IFERROR(FIND({"市"},A516),0),IFERROR(FIND({"区"},A516),0),IFERROR(FIND({"县"},A516),0))+1,FIND("街道",A516)-MAX(IFERROR(FIND({"省"},A516),0),IFERROR(FIND({"市"},A516),0),IFERROR(FIND({"区"},A516),0),IFERROR(FIND({"县"},A516),0))-1+2)</f>
        <v>东海街道</v>
      </c>
      <c r="O516" s="4" t="str" cm="1">
        <f t="array" ref="O516">_xlfn.LET(_xlpm.fullText,A516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16" s="4" t="str" cm="1">
        <f t="array" ref="Q516">_xlfn.LET(_xlpm.fullText,A516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17" spans="1:17">
      <c r="A517" s="3" t="s">
        <v>195</v>
      </c>
      <c r="K517" s="4" t="str" cm="1">
        <f t="array" ref="K517">MID(A517,MAX(IFERROR(FIND({"省","市","区","县"},A517),0))+1,FIND("街道",A517)-MAX(IFERROR(FIND({"省","市","区","县"},A517),0))-1+2)</f>
        <v>海沧街道</v>
      </c>
      <c r="M517" s="4" t="str" cm="1">
        <f t="array" ref="M517">MID(A517,MAX(IFERROR(FIND({"省"},A517),0),IFERROR(FIND({"市"},A517),0),IFERROR(FIND({"区"},A517),0),IFERROR(FIND({"县"},A517),0))+1,FIND("街道",A517)-MAX(IFERROR(FIND({"省"},A517),0),IFERROR(FIND({"市"},A517),0),IFERROR(FIND({"区"},A517),0),IFERROR(FIND({"县"},A517),0))-1+2)</f>
        <v>海沧街道</v>
      </c>
      <c r="O517" s="4" t="str" cm="1">
        <f t="array" ref="O517">_xlfn.LET(_xlpm.fullText,A517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17" s="4" t="str" cm="1">
        <f t="array" ref="Q517">_xlfn.LET(_xlpm.fullText,A517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18" spans="1:17">
      <c r="A518" s="3" t="s">
        <v>234</v>
      </c>
      <c r="K518" s="4" t="str" cm="1">
        <f t="array" ref="K518">MID(A518,MAX(IFERROR(FIND({"省","市","区","县"},A518),0))+1,FIND("街道",A518)-MAX(IFERROR(FIND({"省","市","区","县"},A518),0))-1+2)</f>
        <v>鹭江街道</v>
      </c>
      <c r="M518" s="4" t="str" cm="1">
        <f t="array" ref="M518">MID(A518,MAX(IFERROR(FIND({"省"},A518),0),IFERROR(FIND({"市"},A518),0),IFERROR(FIND({"区"},A518),0),IFERROR(FIND({"县"},A518),0))+1,FIND("街道",A518)-MAX(IFERROR(FIND({"省"},A518),0),IFERROR(FIND({"市"},A518),0),IFERROR(FIND({"区"},A518),0),IFERROR(FIND({"县"},A518),0))-1+2)</f>
        <v>鹭江街道</v>
      </c>
      <c r="O518" s="4" t="str" cm="1">
        <f t="array" ref="O518">_xlfn.LET(_xlpm.fullText,A518,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18" s="4" t="str" cm="1">
        <f t="array" ref="Q518">_xlfn.LET(_xlpm.fullText,A518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19" spans="1:17">
      <c r="A519" s="3" t="s">
        <v>235</v>
      </c>
      <c r="K519" s="4" t="str" cm="1">
        <f t="array" ref="K519">MID(A519,MAX(IFERROR(FIND({"省","市","区","县"},A519),0))+1,FIND("街道",A519)-MAX(IFERROR(FIND({"省","市","区","县"},A519),0))-1+2)</f>
        <v>海沧街道</v>
      </c>
      <c r="M519" s="4" t="str" cm="1">
        <f t="array" ref="M519">MID(A519,MAX(IFERROR(FIND({"省"},A519),0),IFERROR(FIND({"市"},A519),0),IFERROR(FIND({"区"},A519),0),IFERROR(FIND({"县"},A519),0))+1,FIND("街道",A519)-MAX(IFERROR(FIND({"省"},A519),0),IFERROR(FIND({"市"},A519),0),IFERROR(FIND({"区"},A519),0),IFERROR(FIND({"县"},A519),0))-1+2)</f>
        <v>海沧街道</v>
      </c>
      <c r="O519" s="4" t="str" cm="1">
        <f t="array" ref="O519">_xlfn.LET(_xlpm.fullText,A519,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19" s="4" t="str" cm="1">
        <f t="array" ref="Q519">_xlfn.LET(_xlpm.fullText,A519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20" spans="1:17">
      <c r="A520" s="3" t="s">
        <v>198</v>
      </c>
      <c r="K520" s="4" t="str" cm="1">
        <f t="array" ref="K520">MID(A520,MAX(IFERROR(FIND({"省","市","区","县"},A520),0))+1,FIND("街道",A520)-MAX(IFERROR(FIND({"省","市","区","县"},A520),0))-1+2)</f>
        <v>海沧街道</v>
      </c>
      <c r="M520" s="4" t="str" cm="1">
        <f t="array" ref="M520">MID(A520,MAX(IFERROR(FIND({"省"},A520),0),IFERROR(FIND({"市"},A520),0),IFERROR(FIND({"区"},A520),0),IFERROR(FIND({"县"},A520),0))+1,FIND("街道",A520)-MAX(IFERROR(FIND({"省"},A520),0),IFERROR(FIND({"市"},A520),0),IFERROR(FIND({"区"},A520),0),IFERROR(FIND({"县"},A520),0))-1+2)</f>
        <v>海沧街道</v>
      </c>
      <c r="O520" s="4" t="str" cm="1">
        <f t="array" ref="O520">_xlfn.LET(_xlpm.fullText,A520,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20" s="4" t="str" cm="1">
        <f t="array" ref="Q520">_xlfn.LET(_xlpm.fullText,A520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21" spans="1:17">
      <c r="A521" s="3" t="s">
        <v>236</v>
      </c>
      <c r="K521" s="4" t="str" cm="1">
        <f t="array" ref="K521">MID(A521,MAX(IFERROR(FIND({"省","市","区","县"},A521),0))+1,FIND("街道",A521)-MAX(IFERROR(FIND({"省","市","区","县"},A521),0))-1+2)</f>
        <v>江头街道</v>
      </c>
      <c r="M521" s="4" t="str" cm="1">
        <f t="array" ref="M521">MID(A521,MAX(IFERROR(FIND({"省"},A521),0),IFERROR(FIND({"市"},A521),0),IFERROR(FIND({"区"},A521),0),IFERROR(FIND({"县"},A521),0))+1,FIND("街道",A521)-MAX(IFERROR(FIND({"省"},A521),0),IFERROR(FIND({"市"},A521),0),IFERROR(FIND({"区"},A521),0),IFERROR(FIND({"县"},A521),0))-1+2)</f>
        <v>江头街道</v>
      </c>
      <c r="O521" s="4" t="str" cm="1">
        <f t="array" ref="O521">_xlfn.LET(_xlpm.fullText,A521,_xlpm.streetPos,FIND("街道",_xlpm.fullText)+2,_xlpm.prefixText,LEFT(_xlpm.fullText,_xlpm.streetPos-1),_xlpm.adminPos,MAX(IFERROR(FIND({"省","市","区","县"},_xlpm.prefixText),0)),IF(_xlpm.adminPos&gt;0,MID(_xlpm.prefixText,_xlpm.adminPos+1,_xlpm.streetPos-_xlpm.adminPos-3+2),LEFT(_xlpm.prefixText,FIND("街道",_xlpm.prefixText)-1+2)))</f>
        <v>江头街道</v>
      </c>
      <c r="Q521" s="4" t="str" cm="1">
        <f t="array" ref="Q521">_xlfn.LET(_xlpm.fullText,A521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江头街道</v>
      </c>
    </row>
    <row r="522" spans="1:17">
      <c r="A522" s="3" t="s">
        <v>237</v>
      </c>
      <c r="K522" s="4" t="str" cm="1">
        <f t="array" ref="K522">MID(A522,MAX(IFERROR(FIND({"省","市","区","县"},A522),0))+1,FIND("街道",A522)-MAX(IFERROR(FIND({"省","市","区","县"},A522),0))-1+2)</f>
        <v>湖里街道</v>
      </c>
      <c r="M522" s="4" t="str" cm="1">
        <f t="array" ref="M522">MID(A522,MAX(IFERROR(FIND({"省"},A522),0),IFERROR(FIND({"市"},A522),0),IFERROR(FIND({"区"},A522),0),IFERROR(FIND({"县"},A522),0))+1,FIND("街道",A522)-MAX(IFERROR(FIND({"省"},A522),0),IFERROR(FIND({"市"},A522),0),IFERROR(FIND({"区"},A522),0),IFERROR(FIND({"县"},A522),0))-1+2)</f>
        <v>湖里街道</v>
      </c>
      <c r="O522" s="4" t="str" cm="1">
        <f t="array" ref="O522">_xlfn.LET(_xlpm.fullText,A522,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522" s="4" t="str" cm="1">
        <f t="array" ref="Q522">_xlfn.LET(_xlpm.fullText,A522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523" spans="1:17">
      <c r="A523" s="3" t="s">
        <v>238</v>
      </c>
      <c r="K523" s="4" t="str" cm="1">
        <f t="array" ref="K523">MID(A523,MAX(IFERROR(FIND({"省","市","区","县"},A523),0))+1,FIND("街道",A523)-MAX(IFERROR(FIND({"省","市","区","县"},A523),0))-1+2)</f>
        <v>江陵街道</v>
      </c>
      <c r="M523" s="4" t="str" cm="1">
        <f t="array" ref="M523">MID(A523,MAX(IFERROR(FIND({"省"},A523),0),IFERROR(FIND({"市"},A523),0),IFERROR(FIND({"区"},A523),0),IFERROR(FIND({"县"},A523),0))+1,FIND("街道",A523)-MAX(IFERROR(FIND({"省"},A523),0),IFERROR(FIND({"市"},A523),0),IFERROR(FIND({"区"},A523),0),IFERROR(FIND({"县"},A523),0))-1+2)</f>
        <v>江陵街道</v>
      </c>
      <c r="O523" s="4" t="str" cm="1">
        <f t="array" ref="O523">_xlfn.LET(_xlpm.fullText,A523,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523" s="4" t="str" cm="1">
        <f t="array" ref="Q523">_xlfn.LET(_xlpm.fullText,A523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524" spans="1:17">
      <c r="A524" s="3" t="s">
        <v>239</v>
      </c>
      <c r="K524" s="4" t="str" cm="1">
        <f t="array" ref="K524">MID(A524,MAX(IFERROR(FIND({"省","市","区","县"},A524),0))+1,FIND("街道",A524)-MAX(IFERROR(FIND({"省","市","区","县"},A524),0))-1+2)</f>
        <v>江陵街道</v>
      </c>
      <c r="M524" s="4" t="str" cm="1">
        <f t="array" ref="M524">MID(A524,MAX(IFERROR(FIND({"省"},A524),0),IFERROR(FIND({"市"},A524),0),IFERROR(FIND({"区"},A524),0),IFERROR(FIND({"县"},A524),0))+1,FIND("街道",A524)-MAX(IFERROR(FIND({"省"},A524),0),IFERROR(FIND({"市"},A524),0),IFERROR(FIND({"区"},A524),0),IFERROR(FIND({"县"},A524),0))-1+2)</f>
        <v>江陵街道</v>
      </c>
      <c r="O524" s="4" t="str" cm="1">
        <f t="array" ref="O524">_xlfn.LET(_xlpm.fullText,A524,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524" s="4" t="str" cm="1">
        <f t="array" ref="Q524">_xlfn.LET(_xlpm.fullText,A524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525" spans="1:17">
      <c r="A525" s="3" t="s">
        <v>240</v>
      </c>
      <c r="K525" s="4" t="str" cm="1">
        <f t="array" ref="K525">MID(A525,MAX(IFERROR(FIND({"省","市","区","县"},A525),0))+1,FIND("街道",A525)-MAX(IFERROR(FIND({"省","市","区","县"},A525),0))-1+2)</f>
        <v>鹭江街道</v>
      </c>
      <c r="M525" s="4" t="str" cm="1">
        <f t="array" ref="M525">MID(A525,MAX(IFERROR(FIND({"省"},A525),0),IFERROR(FIND({"市"},A525),0),IFERROR(FIND({"区"},A525),0),IFERROR(FIND({"县"},A525),0))+1,FIND("街道",A525)-MAX(IFERROR(FIND({"省"},A525),0),IFERROR(FIND({"市"},A525),0),IFERROR(FIND({"区"},A525),0),IFERROR(FIND({"县"},A525),0))-1+2)</f>
        <v>鹭江街道</v>
      </c>
      <c r="O525" s="4" t="str" cm="1">
        <f t="array" ref="O525">_xlfn.LET(_xlpm.fullText,A525,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25" s="4" t="str" cm="1">
        <f t="array" ref="Q525">_xlfn.LET(_xlpm.fullText,A525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26" spans="1:17">
      <c r="A526" s="3" t="s">
        <v>27</v>
      </c>
      <c r="K526" s="4" t="str" cm="1">
        <f t="array" ref="K526">MID(A526,MAX(IFERROR(FIND({"省","市","区","县"},A526),0))+1,FIND("街道",A526)-MAX(IFERROR(FIND({"省","市","区","县"},A526),0))-1+2)</f>
        <v>东海街道</v>
      </c>
      <c r="M526" s="4" t="str" cm="1">
        <f t="array" ref="M526">MID(A526,MAX(IFERROR(FIND({"省"},A526),0),IFERROR(FIND({"市"},A526),0),IFERROR(FIND({"区"},A526),0),IFERROR(FIND({"县"},A526),0))+1,FIND("街道",A526)-MAX(IFERROR(FIND({"省"},A526),0),IFERROR(FIND({"市"},A526),0),IFERROR(FIND({"区"},A526),0),IFERROR(FIND({"县"},A526),0))-1+2)</f>
        <v>东海街道</v>
      </c>
      <c r="O526" s="4" t="str" cm="1">
        <f t="array" ref="O526">_xlfn.LET(_xlpm.fullText,A526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26" s="4" t="str" cm="1">
        <f t="array" ref="Q526">_xlfn.LET(_xlpm.fullText,A526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27" spans="1:17">
      <c r="A527" s="3" t="s">
        <v>27</v>
      </c>
      <c r="K527" s="4" t="str" cm="1">
        <f t="array" ref="K527">MID(A527,MAX(IFERROR(FIND({"省","市","区","县"},A527),0))+1,FIND("街道",A527)-MAX(IFERROR(FIND({"省","市","区","县"},A527),0))-1+2)</f>
        <v>东海街道</v>
      </c>
      <c r="M527" s="4" t="str" cm="1">
        <f t="array" ref="M527">MID(A527,MAX(IFERROR(FIND({"省"},A527),0),IFERROR(FIND({"市"},A527),0),IFERROR(FIND({"区"},A527),0),IFERROR(FIND({"县"},A527),0))+1,FIND("街道",A527)-MAX(IFERROR(FIND({"省"},A527),0),IFERROR(FIND({"市"},A527),0),IFERROR(FIND({"区"},A527),0),IFERROR(FIND({"县"},A527),0))-1+2)</f>
        <v>东海街道</v>
      </c>
      <c r="O527" s="4" t="str" cm="1">
        <f t="array" ref="O527">_xlfn.LET(_xlpm.fullText,A527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27" s="4" t="str" cm="1">
        <f t="array" ref="Q527">_xlfn.LET(_xlpm.fullText,A527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28" spans="1:17">
      <c r="A528" s="3" t="s">
        <v>241</v>
      </c>
      <c r="K528" s="4" t="str" cm="1">
        <f t="array" ref="K528">MID(A528,MAX(IFERROR(FIND({"省","市","区","县"},A528),0))+1,FIND("街道",A528)-MAX(IFERROR(FIND({"省","市","区","县"},A528),0))-1+2)</f>
        <v>湖里街道</v>
      </c>
      <c r="M528" s="4" t="str" cm="1">
        <f t="array" ref="M528">MID(A528,MAX(IFERROR(FIND({"省"},A528),0),IFERROR(FIND({"市"},A528),0),IFERROR(FIND({"区"},A528),0),IFERROR(FIND({"县"},A528),0))+1,FIND("街道",A528)-MAX(IFERROR(FIND({"省"},A528),0),IFERROR(FIND({"市"},A528),0),IFERROR(FIND({"区"},A528),0),IFERROR(FIND({"县"},A528),0))-1+2)</f>
        <v>湖里街道</v>
      </c>
      <c r="O528" s="4" t="str" cm="1">
        <f t="array" ref="O528">_xlfn.LET(_xlpm.fullText,A528,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528" s="4" t="str" cm="1">
        <f t="array" ref="Q528">_xlfn.LET(_xlpm.fullText,A528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529" spans="1:17">
      <c r="A529" s="3" t="s">
        <v>27</v>
      </c>
      <c r="K529" s="4" t="str" cm="1">
        <f t="array" ref="K529">MID(A529,MAX(IFERROR(FIND({"省","市","区","县"},A529),0))+1,FIND("街道",A529)-MAX(IFERROR(FIND({"省","市","区","县"},A529),0))-1+2)</f>
        <v>东海街道</v>
      </c>
      <c r="M529" s="4" t="str" cm="1">
        <f t="array" ref="M529">MID(A529,MAX(IFERROR(FIND({"省"},A529),0),IFERROR(FIND({"市"},A529),0),IFERROR(FIND({"区"},A529),0),IFERROR(FIND({"县"},A529),0))+1,FIND("街道",A529)-MAX(IFERROR(FIND({"省"},A529),0),IFERROR(FIND({"市"},A529),0),IFERROR(FIND({"区"},A529),0),IFERROR(FIND({"县"},A529),0))-1+2)</f>
        <v>东海街道</v>
      </c>
      <c r="O529" s="4" t="str" cm="1">
        <f t="array" ref="O529">_xlfn.LET(_xlpm.fullText,A529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29" s="4" t="str" cm="1">
        <f t="array" ref="Q529">_xlfn.LET(_xlpm.fullText,A529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30" spans="1:17">
      <c r="A530" s="3" t="s">
        <v>27</v>
      </c>
      <c r="K530" s="4" t="str" cm="1">
        <f t="array" ref="K530">MID(A530,MAX(IFERROR(FIND({"省","市","区","县"},A530),0))+1,FIND("街道",A530)-MAX(IFERROR(FIND({"省","市","区","县"},A530),0))-1+2)</f>
        <v>东海街道</v>
      </c>
      <c r="M530" s="4" t="str" cm="1">
        <f t="array" ref="M530">MID(A530,MAX(IFERROR(FIND({"省"},A530),0),IFERROR(FIND({"市"},A530),0),IFERROR(FIND({"区"},A530),0),IFERROR(FIND({"县"},A530),0))+1,FIND("街道",A530)-MAX(IFERROR(FIND({"省"},A530),0),IFERROR(FIND({"市"},A530),0),IFERROR(FIND({"区"},A530),0),IFERROR(FIND({"县"},A530),0))-1+2)</f>
        <v>东海街道</v>
      </c>
      <c r="O530" s="4" t="str" cm="1">
        <f t="array" ref="O530">_xlfn.LET(_xlpm.fullText,A530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30" s="4" t="str" cm="1">
        <f t="array" ref="Q530">_xlfn.LET(_xlpm.fullText,A530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31" spans="1:17">
      <c r="A531" s="3" t="s">
        <v>234</v>
      </c>
      <c r="K531" s="4" t="str" cm="1">
        <f t="array" ref="K531">MID(A531,MAX(IFERROR(FIND({"省","市","区","县"},A531),0))+1,FIND("街道",A531)-MAX(IFERROR(FIND({"省","市","区","县"},A531),0))-1+2)</f>
        <v>鹭江街道</v>
      </c>
      <c r="M531" s="4" t="str" cm="1">
        <f t="array" ref="M531">MID(A531,MAX(IFERROR(FIND({"省"},A531),0),IFERROR(FIND({"市"},A531),0),IFERROR(FIND({"区"},A531),0),IFERROR(FIND({"县"},A531),0))+1,FIND("街道",A531)-MAX(IFERROR(FIND({"省"},A531),0),IFERROR(FIND({"市"},A531),0),IFERROR(FIND({"区"},A531),0),IFERROR(FIND({"县"},A531),0))-1+2)</f>
        <v>鹭江街道</v>
      </c>
      <c r="O531" s="4" t="str" cm="1">
        <f t="array" ref="O531">_xlfn.LET(_xlpm.fullText,A531,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31" s="4" t="str" cm="1">
        <f t="array" ref="Q531">_xlfn.LET(_xlpm.fullText,A531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32" spans="1:17">
      <c r="A532" s="3" t="s">
        <v>242</v>
      </c>
      <c r="K532" s="4" t="str" cm="1">
        <f t="array" ref="K532">MID(A532,MAX(IFERROR(FIND({"省","市","区","县"},A532),0))+1,FIND("街道",A532)-MAX(IFERROR(FIND({"省","市","区","县"},A532),0))-1+2)</f>
        <v>海沧街道</v>
      </c>
      <c r="M532" s="4" t="str" cm="1">
        <f t="array" ref="M532">MID(A532,MAX(IFERROR(FIND({"省"},A532),0),IFERROR(FIND({"市"},A532),0),IFERROR(FIND({"区"},A532),0),IFERROR(FIND({"县"},A532),0))+1,FIND("街道",A532)-MAX(IFERROR(FIND({"省"},A532),0),IFERROR(FIND({"市"},A532),0),IFERROR(FIND({"区"},A532),0),IFERROR(FIND({"县"},A532),0))-1+2)</f>
        <v>海沧街道</v>
      </c>
      <c r="O532" s="4" t="str" cm="1">
        <f t="array" ref="O532">_xlfn.LET(_xlpm.fullText,A532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32" s="4" t="str" cm="1">
        <f t="array" ref="Q532">_xlfn.LET(_xlpm.fullText,A532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33" spans="1:17">
      <c r="A533" s="3" t="s">
        <v>243</v>
      </c>
      <c r="K533" s="4" t="str" cm="1">
        <f t="array" ref="K533">MID(A533,MAX(IFERROR(FIND({"省","市","区","县"},A533),0))+1,FIND("街道",A533)-MAX(IFERROR(FIND({"省","市","区","县"},A533),0))-1+2)</f>
        <v>海沧街道</v>
      </c>
      <c r="M533" s="4" t="str" cm="1">
        <f t="array" ref="M533">MID(A533,MAX(IFERROR(FIND({"省"},A533),0),IFERROR(FIND({"市"},A533),0),IFERROR(FIND({"区"},A533),0),IFERROR(FIND({"县"},A533),0))+1,FIND("街道",A533)-MAX(IFERROR(FIND({"省"},A533),0),IFERROR(FIND({"市"},A533),0),IFERROR(FIND({"区"},A533),0),IFERROR(FIND({"县"},A533),0))-1+2)</f>
        <v>海沧街道</v>
      </c>
      <c r="O533" s="4" t="str" cm="1">
        <f t="array" ref="O533">_xlfn.LET(_xlpm.fullText,A533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33" s="4" t="str" cm="1">
        <f t="array" ref="Q533">_xlfn.LET(_xlpm.fullText,A533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34" spans="1:17">
      <c r="A534" s="3" t="s">
        <v>195</v>
      </c>
      <c r="K534" s="4" t="str" cm="1">
        <f t="array" ref="K534">MID(A534,MAX(IFERROR(FIND({"省","市","区","县"},A534),0))+1,FIND("街道",A534)-MAX(IFERROR(FIND({"省","市","区","县"},A534),0))-1+2)</f>
        <v>海沧街道</v>
      </c>
      <c r="M534" s="4" t="str" cm="1">
        <f t="array" ref="M534">MID(A534,MAX(IFERROR(FIND({"省"},A534),0),IFERROR(FIND({"市"},A534),0),IFERROR(FIND({"区"},A534),0),IFERROR(FIND({"县"},A534),0))+1,FIND("街道",A534)-MAX(IFERROR(FIND({"省"},A534),0),IFERROR(FIND({"市"},A534),0),IFERROR(FIND({"区"},A534),0),IFERROR(FIND({"县"},A534),0))-1+2)</f>
        <v>海沧街道</v>
      </c>
      <c r="O534" s="4" t="str" cm="1">
        <f t="array" ref="O534">_xlfn.LET(_xlpm.fullText,A534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34" s="4" t="str" cm="1">
        <f t="array" ref="Q534">_xlfn.LET(_xlpm.fullText,A534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35" spans="1:17">
      <c r="A535" s="3" t="s">
        <v>27</v>
      </c>
      <c r="K535" s="4" t="str" cm="1">
        <f t="array" ref="K535">MID(A535,MAX(IFERROR(FIND({"省","市","区","县"},A535),0))+1,FIND("街道",A535)-MAX(IFERROR(FIND({"省","市","区","县"},A535),0))-1+2)</f>
        <v>东海街道</v>
      </c>
      <c r="M535" s="4" t="str" cm="1">
        <f t="array" ref="M535">MID(A535,MAX(IFERROR(FIND({"省"},A535),0),IFERROR(FIND({"市"},A535),0),IFERROR(FIND({"区"},A535),0),IFERROR(FIND({"县"},A535),0))+1,FIND("街道",A535)-MAX(IFERROR(FIND({"省"},A535),0),IFERROR(FIND({"市"},A535),0),IFERROR(FIND({"区"},A535),0),IFERROR(FIND({"县"},A535),0))-1+2)</f>
        <v>东海街道</v>
      </c>
      <c r="O535" s="4" t="str" cm="1">
        <f t="array" ref="O535">_xlfn.LET(_xlpm.fullText,A535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35" s="4" t="str" cm="1">
        <f t="array" ref="Q535">_xlfn.LET(_xlpm.fullText,A535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36" spans="1:17">
      <c r="A536" s="3" t="s">
        <v>244</v>
      </c>
      <c r="K536" s="4" t="str" cm="1">
        <f t="array" ref="K536">MID(A536,MAX(IFERROR(FIND({"省","市","区","县"},A536),0))+1,FIND("街道",A536)-MAX(IFERROR(FIND({"省","市","区","县"},A536),0))-1+2)</f>
        <v>东海街道</v>
      </c>
      <c r="M536" s="4" t="str" cm="1">
        <f t="array" ref="M536">MID(A536,MAX(IFERROR(FIND({"省"},A536),0),IFERROR(FIND({"市"},A536),0),IFERROR(FIND({"区"},A536),0),IFERROR(FIND({"县"},A536),0))+1,FIND("街道",A536)-MAX(IFERROR(FIND({"省"},A536),0),IFERROR(FIND({"市"},A536),0),IFERROR(FIND({"区"},A536),0),IFERROR(FIND({"县"},A536),0))-1+2)</f>
        <v>东海街道</v>
      </c>
      <c r="O536" s="4" t="str" cm="1">
        <f t="array" ref="O536">_xlfn.LET(_xlpm.fullText,A536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36" s="4" t="str" cm="1">
        <f t="array" ref="Q536">_xlfn.LET(_xlpm.fullText,A536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37" spans="1:17">
      <c r="A537" s="3" t="s">
        <v>27</v>
      </c>
      <c r="K537" s="4" t="str" cm="1">
        <f t="array" ref="K537">MID(A537,MAX(IFERROR(FIND({"省","市","区","县"},A537),0))+1,FIND("街道",A537)-MAX(IFERROR(FIND({"省","市","区","县"},A537),0))-1+2)</f>
        <v>东海街道</v>
      </c>
      <c r="M537" s="4" t="str" cm="1">
        <f t="array" ref="M537">MID(A537,MAX(IFERROR(FIND({"省"},A537),0),IFERROR(FIND({"市"},A537),0),IFERROR(FIND({"区"},A537),0),IFERROR(FIND({"县"},A537),0))+1,FIND("街道",A537)-MAX(IFERROR(FIND({"省"},A537),0),IFERROR(FIND({"市"},A537),0),IFERROR(FIND({"区"},A537),0),IFERROR(FIND({"县"},A537),0))-1+2)</f>
        <v>东海街道</v>
      </c>
      <c r="O537" s="4" t="str" cm="1">
        <f t="array" ref="O537">_xlfn.LET(_xlpm.fullText,A537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37" s="4" t="str" cm="1">
        <f t="array" ref="Q537">_xlfn.LET(_xlpm.fullText,A537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38" spans="1:17">
      <c r="A538" s="3" t="s">
        <v>245</v>
      </c>
      <c r="K538" s="4" t="str" cm="1">
        <f t="array" ref="K538">MID(A538,MAX(IFERROR(FIND({"省","市","区","县"},A538),0))+1,FIND("街道",A538)-MAX(IFERROR(FIND({"省","市","区","县"},A538),0))-1+2)</f>
        <v>杏滨街道</v>
      </c>
      <c r="M538" s="4" t="str" cm="1">
        <f t="array" ref="M538">MID(A538,MAX(IFERROR(FIND({"省"},A538),0),IFERROR(FIND({"市"},A538),0),IFERROR(FIND({"区"},A538),0),IFERROR(FIND({"县"},A538),0))+1,FIND("街道",A538)-MAX(IFERROR(FIND({"省"},A538),0),IFERROR(FIND({"市"},A538),0),IFERROR(FIND({"区"},A538),0),IFERROR(FIND({"县"},A538),0))-1+2)</f>
        <v>杏滨街道</v>
      </c>
      <c r="O538" s="4" t="str" cm="1">
        <f t="array" ref="O538">_xlfn.LET(_xlpm.fullText,A538,_xlpm.streetPos,FIND("街道",_xlpm.fullText)+2,_xlpm.prefixText,LEFT(_xlpm.fullText,_xlpm.streetPos-1),_xlpm.adminPos,MAX(IFERROR(FIND({"省","市","区","县"},_xlpm.prefixText),0)),IF(_xlpm.adminPos&gt;0,MID(_xlpm.prefixText,_xlpm.adminPos+1,_xlpm.streetPos-_xlpm.adminPos-3+2),LEFT(_xlpm.prefixText,FIND("街道",_xlpm.prefixText)-1+2)))</f>
        <v>杏滨街道</v>
      </c>
      <c r="Q538" s="4" t="str" cm="1">
        <f t="array" ref="Q538">_xlfn.LET(_xlpm.fullText,A538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杏滨街道</v>
      </c>
    </row>
    <row r="539" spans="1:17">
      <c r="A539" s="3" t="s">
        <v>246</v>
      </c>
      <c r="K539" s="4" t="str" cm="1">
        <f t="array" ref="K539">MID(A539,MAX(IFERROR(FIND({"省","市","区","县"},A539),0))+1,FIND("街道",A539)-MAX(IFERROR(FIND({"省","市","区","县"},A539),0))-1+2)</f>
        <v>江陵街道</v>
      </c>
      <c r="M539" s="4" t="str" cm="1">
        <f t="array" ref="M539">MID(A539,MAX(IFERROR(FIND({"省"},A539),0),IFERROR(FIND({"市"},A539),0),IFERROR(FIND({"区"},A539),0),IFERROR(FIND({"县"},A539),0))+1,FIND("街道",A539)-MAX(IFERROR(FIND({"省"},A539),0),IFERROR(FIND({"市"},A539),0),IFERROR(FIND({"区"},A539),0),IFERROR(FIND({"县"},A539),0))-1+2)</f>
        <v>江陵街道</v>
      </c>
      <c r="O539" s="4" t="str" cm="1">
        <f t="array" ref="O539">_xlfn.LET(_xlpm.fullText,A539,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539" s="4" t="str" cm="1">
        <f t="array" ref="Q539">_xlfn.LET(_xlpm.fullText,A539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540" ht="28.8" spans="1:17">
      <c r="A540" s="3" t="s">
        <v>247</v>
      </c>
      <c r="K540" s="4" t="str" cm="1">
        <f t="array" ref="K540">MID(A540,MAX(IFERROR(FIND({"省","市","区","县"},A540),0))+1,FIND("街道",A540)-MAX(IFERROR(FIND({"省","市","区","县"},A540),0))-1+2)</f>
        <v>金山桥街道</v>
      </c>
      <c r="M540" s="4" t="str" cm="1">
        <f t="array" ref="M540">MID(A540,MAX(IFERROR(FIND({"省"},A540),0),IFERROR(FIND({"市"},A540),0),IFERROR(FIND({"区"},A540),0),IFERROR(FIND({"县"},A540),0))+1,FIND("街道",A540)-MAX(IFERROR(FIND({"省"},A540),0),IFERROR(FIND({"市"},A540),0),IFERROR(FIND({"区"},A540),0),IFERROR(FIND({"县"},A540),0))-1+2)</f>
        <v>金山桥街道</v>
      </c>
      <c r="O540" s="4" t="str" cm="1">
        <f t="array" ref="O540">_xlfn.LET(_xlpm.fullText,A540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540" s="4" t="str" cm="1">
        <f t="array" ref="Q540">_xlfn.LET(_xlpm.fullText,A540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541" spans="1:17">
      <c r="A541" s="3" t="s">
        <v>28</v>
      </c>
      <c r="K541" s="4" t="str" cm="1">
        <f t="array" ref="K541">MID(A541,MAX(IFERROR(FIND({"省","市","区","县"},A541),0))+1,FIND("街道",A541)-MAX(IFERROR(FIND({"省","市","区","县"},A541),0))-1+2)</f>
        <v>东海街道</v>
      </c>
      <c r="M541" s="4" t="str" cm="1">
        <f t="array" ref="M541">MID(A541,MAX(IFERROR(FIND({"省"},A541),0),IFERROR(FIND({"市"},A541),0),IFERROR(FIND({"区"},A541),0),IFERROR(FIND({"县"},A541),0))+1,FIND("街道",A541)-MAX(IFERROR(FIND({"省"},A541),0),IFERROR(FIND({"市"},A541),0),IFERROR(FIND({"区"},A541),0),IFERROR(FIND({"县"},A541),0))-1+2)</f>
        <v>东海街道</v>
      </c>
      <c r="O541" s="4" t="str" cm="1">
        <f t="array" ref="O541">_xlfn.LET(_xlpm.fullText,A541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41" s="4" t="str" cm="1">
        <f t="array" ref="Q541">_xlfn.LET(_xlpm.fullText,A541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42" spans="1:17">
      <c r="A542" s="3" t="s">
        <v>248</v>
      </c>
      <c r="K542" s="4" t="e" cm="1">
        <f t="array" ref="K542">MID(A542,MAX(IFERROR(FIND({"省","市","区","县"},A542),0))+1,FIND("街道",A542)-MAX(IFERROR(FIND({"省","市","区","县"},A542),0))-1+2)</f>
        <v>#VALUE!</v>
      </c>
      <c r="M542" s="4" t="e" cm="1">
        <f t="array" ref="M542">MID(A542,MAX(IFERROR(FIND({"省"},A542),0),IFERROR(FIND({"市"},A542),0),IFERROR(FIND({"区"},A542),0),IFERROR(FIND({"县"},A542),0))+1,FIND("街道",A542)-MAX(IFERROR(FIND({"省"},A542),0),IFERROR(FIND({"市"},A542),0),IFERROR(FIND({"区"},A542),0),IFERROR(FIND({"县"},A542),0))-1+2)</f>
        <v>#VALUE!</v>
      </c>
      <c r="O542" s="4" t="str" cm="1">
        <f t="array" ref="O542">_xlfn.LET(_xlpm.fullText,A542,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P542" s="4" cm="1">
        <f t="array" ref="P542">MAX(IFERROR(FIND({"省"},A542,FIND("街道",A542)),0),IFERROR(FIND({"市"},A542,FIND("街道",A542)),0),IFERROR(FIND({"区"},A542,FIND("街道",A542)),0),IFERROR(FIND({"县"},A542,FIND("街道",A542)),0))+1</f>
        <v>18</v>
      </c>
      <c r="Q542" s="4" t="str" cm="1">
        <f t="array" ref="Q542">_xlfn.LET(_xlpm.fullText,A542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543" spans="1:17">
      <c r="A543" s="3" t="s">
        <v>195</v>
      </c>
      <c r="K543" s="4" t="str" cm="1">
        <f t="array" ref="K543">MID(A543,MAX(IFERROR(FIND({"省","市","区","县"},A543),0))+1,FIND("街道",A543)-MAX(IFERROR(FIND({"省","市","区","县"},A543),0))-1+2)</f>
        <v>海沧街道</v>
      </c>
      <c r="M543" s="4" t="str" cm="1">
        <f t="array" ref="M543">MID(A543,MAX(IFERROR(FIND({"省"},A543),0),IFERROR(FIND({"市"},A543),0),IFERROR(FIND({"区"},A543),0),IFERROR(FIND({"县"},A543),0))+1,FIND("街道",A543)-MAX(IFERROR(FIND({"省"},A543),0),IFERROR(FIND({"市"},A543),0),IFERROR(FIND({"区"},A543),0),IFERROR(FIND({"县"},A543),0))-1+2)</f>
        <v>海沧街道</v>
      </c>
      <c r="O543" s="4" t="str" cm="1">
        <f t="array" ref="O543">_xlfn.LET(_xlpm.fullText,A543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43" s="4" t="str" cm="1">
        <f t="array" ref="Q543">_xlfn.LET(_xlpm.fullText,A543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44" spans="1:17">
      <c r="A544" s="3" t="s">
        <v>249</v>
      </c>
      <c r="K544" s="4" t="str" cm="1">
        <f t="array" ref="K544">MID(A544,MAX(IFERROR(FIND({"省","市","区","县"},A544),0))+1,FIND("街道",A544)-MAX(IFERROR(FIND({"省","市","区","县"},A544),0))-1+2)</f>
        <v>鹭江街道</v>
      </c>
      <c r="M544" s="4" t="str" cm="1">
        <f t="array" ref="M544">MID(A544,MAX(IFERROR(FIND({"省"},A544),0),IFERROR(FIND({"市"},A544),0),IFERROR(FIND({"区"},A544),0),IFERROR(FIND({"县"},A544),0))+1,FIND("街道",A544)-MAX(IFERROR(FIND({"省"},A544),0),IFERROR(FIND({"市"},A544),0),IFERROR(FIND({"区"},A544),0),IFERROR(FIND({"县"},A544),0))-1+2)</f>
        <v>鹭江街道</v>
      </c>
      <c r="O544" s="4" t="str" cm="1">
        <f t="array" ref="O544">_xlfn.LET(_xlpm.fullText,A544,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44" s="4" t="str" cm="1">
        <f t="array" ref="Q544">_xlfn.LET(_xlpm.fullText,A544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45" spans="1:17">
      <c r="A545" s="3" t="s">
        <v>250</v>
      </c>
      <c r="K545" s="4" t="str" cm="1">
        <f t="array" ref="K545">MID(A545,MAX(IFERROR(FIND({"省","市","区","县"},A545),0))+1,FIND("街道",A545)-MAX(IFERROR(FIND({"省","市","区","县"},A545),0))-1+2)</f>
        <v>鹭江街道</v>
      </c>
      <c r="M545" s="4" t="str" cm="1">
        <f t="array" ref="M545">MID(A545,MAX(IFERROR(FIND({"省"},A545),0),IFERROR(FIND({"市"},A545),0),IFERROR(FIND({"区"},A545),0),IFERROR(FIND({"县"},A545),0))+1,FIND("街道",A545)-MAX(IFERROR(FIND({"省"},A545),0),IFERROR(FIND({"市"},A545),0),IFERROR(FIND({"区"},A545),0),IFERROR(FIND({"县"},A545),0))-1+2)</f>
        <v>鹭江街道</v>
      </c>
      <c r="O545" s="4" t="str" cm="1">
        <f t="array" ref="O545">_xlfn.LET(_xlpm.fullText,A545,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45" s="4" t="str" cm="1">
        <f t="array" ref="Q545">_xlfn.LET(_xlpm.fullText,A545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46" spans="1:17">
      <c r="A546" s="3" t="s">
        <v>251</v>
      </c>
      <c r="K546" s="4" t="str" cm="1">
        <f t="array" ref="K546">MID(A546,MAX(IFERROR(FIND({"省","市","区","县"},A546),0))+1,FIND("街道",A546)-MAX(IFERROR(FIND({"省","市","区","县"},A546),0))-1+2)</f>
        <v>海沧街道</v>
      </c>
      <c r="M546" s="4" t="str" cm="1">
        <f t="array" ref="M546">MID(A546,MAX(IFERROR(FIND({"省"},A546),0),IFERROR(FIND({"市"},A546),0),IFERROR(FIND({"区"},A546),0),IFERROR(FIND({"县"},A546),0))+1,FIND("街道",A546)-MAX(IFERROR(FIND({"省"},A546),0),IFERROR(FIND({"市"},A546),0),IFERROR(FIND({"区"},A546),0),IFERROR(FIND({"县"},A546),0))-1+2)</f>
        <v>海沧街道</v>
      </c>
      <c r="O546" s="4" t="str" cm="1">
        <f t="array" ref="O546">_xlfn.LET(_xlpm.fullText,A546,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46" s="4" t="str" cm="1">
        <f t="array" ref="Q546">_xlfn.LET(_xlpm.fullText,A546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47" spans="1:17">
      <c r="A547" s="3" t="s">
        <v>27</v>
      </c>
      <c r="K547" s="4" t="str" cm="1">
        <f t="array" ref="K547">MID(A547,MAX(IFERROR(FIND({"省","市","区","县"},A547),0))+1,FIND("街道",A547)-MAX(IFERROR(FIND({"省","市","区","县"},A547),0))-1+2)</f>
        <v>东海街道</v>
      </c>
      <c r="M547" s="4" t="str" cm="1">
        <f t="array" ref="M547">MID(A547,MAX(IFERROR(FIND({"省"},A547),0),IFERROR(FIND({"市"},A547),0),IFERROR(FIND({"区"},A547),0),IFERROR(FIND({"县"},A547),0))+1,FIND("街道",A547)-MAX(IFERROR(FIND({"省"},A547),0),IFERROR(FIND({"市"},A547),0),IFERROR(FIND({"区"},A547),0),IFERROR(FIND({"县"},A547),0))-1+2)</f>
        <v>东海街道</v>
      </c>
      <c r="O547" s="4" t="str" cm="1">
        <f t="array" ref="O547">_xlfn.LET(_xlpm.fullText,A547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47" s="4" t="str" cm="1">
        <f t="array" ref="Q547">_xlfn.LET(_xlpm.fullText,A547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48" spans="1:17">
      <c r="A548" s="3" t="s">
        <v>252</v>
      </c>
      <c r="K548" s="4" t="str" cm="1">
        <f t="array" ref="K548">MID(A548,MAX(IFERROR(FIND({"省","市","区","县"},A548),0))+1,FIND("街道",A548)-MAX(IFERROR(FIND({"省","市","区","县"},A548),0))-1+2)</f>
        <v>鹭江街道</v>
      </c>
      <c r="M548" s="4" t="str" cm="1">
        <f t="array" ref="M548">MID(A548,MAX(IFERROR(FIND({"省"},A548),0),IFERROR(FIND({"市"},A548),0),IFERROR(FIND({"区"},A548),0),IFERROR(FIND({"县"},A548),0))+1,FIND("街道",A548)-MAX(IFERROR(FIND({"省"},A548),0),IFERROR(FIND({"市"},A548),0),IFERROR(FIND({"区"},A548),0),IFERROR(FIND({"县"},A548),0))-1+2)</f>
        <v>鹭江街道</v>
      </c>
      <c r="O548" s="4" t="str" cm="1">
        <f t="array" ref="O548">_xlfn.LET(_xlpm.fullText,A548,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48" s="4" t="str" cm="1">
        <f t="array" ref="Q548">_xlfn.LET(_xlpm.fullText,A548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49" spans="1:17">
      <c r="A549" s="3" t="s">
        <v>253</v>
      </c>
      <c r="K549" s="4" t="str" cm="1">
        <f t="array" ref="K549">MID(A549,MAX(IFERROR(FIND({"省","市","区","县"},A549),0))+1,FIND("街道",A549)-MAX(IFERROR(FIND({"省","市","区","县"},A549),0))-1+2)</f>
        <v>崇屿街道</v>
      </c>
      <c r="M549" s="4" t="str" cm="1">
        <f t="array" ref="M549">MID(A549,MAX(IFERROR(FIND({"省"},A549),0),IFERROR(FIND({"市"},A549),0),IFERROR(FIND({"区"},A549),0),IFERROR(FIND({"县"},A549),0))+1,FIND("街道",A549)-MAX(IFERROR(FIND({"省"},A549),0),IFERROR(FIND({"市"},A549),0),IFERROR(FIND({"区"},A549),0),IFERROR(FIND({"县"},A549),0))-1+2)</f>
        <v>崇屿街道</v>
      </c>
      <c r="O549" s="4" t="str" cm="1">
        <f t="array" ref="O549">_xlfn.LET(_xlpm.fullText,A549,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549" s="4" t="str" cm="1">
        <f t="array" ref="Q549">_xlfn.LET(_xlpm.fullText,A549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550" spans="1:17">
      <c r="A550" s="3" t="s">
        <v>252</v>
      </c>
      <c r="K550" s="4" t="str" cm="1">
        <f t="array" ref="K550">MID(A550,MAX(IFERROR(FIND({"省","市","区","县"},A550),0))+1,FIND("街道",A550)-MAX(IFERROR(FIND({"省","市","区","县"},A550),0))-1+2)</f>
        <v>鹭江街道</v>
      </c>
      <c r="M550" s="4" t="str" cm="1">
        <f t="array" ref="M550">MID(A550,MAX(IFERROR(FIND({"省"},A550),0),IFERROR(FIND({"市"},A550),0),IFERROR(FIND({"区"},A550),0),IFERROR(FIND({"县"},A550),0))+1,FIND("街道",A550)-MAX(IFERROR(FIND({"省"},A550),0),IFERROR(FIND({"市"},A550),0),IFERROR(FIND({"区"},A550),0),IFERROR(FIND({"县"},A550),0))-1+2)</f>
        <v>鹭江街道</v>
      </c>
      <c r="O550" s="4" t="str" cm="1">
        <f t="array" ref="O550">_xlfn.LET(_xlpm.fullText,A550,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50" s="4" t="str" cm="1">
        <f t="array" ref="Q550">_xlfn.LET(_xlpm.fullText,A550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51" spans="1:17">
      <c r="A551" s="3" t="s">
        <v>254</v>
      </c>
      <c r="K551" s="4" t="str" cm="1">
        <f t="array" ref="K551">MID(A551,MAX(IFERROR(FIND({"省","市","区","县"},A551),0))+1,FIND("街道",A551)-MAX(IFERROR(FIND({"省","市","区","县"},A551),0))-1+2)</f>
        <v>杏林街道</v>
      </c>
      <c r="M551" s="4" t="str" cm="1">
        <f t="array" ref="M551">MID(A551,MAX(IFERROR(FIND({"省"},A551),0),IFERROR(FIND({"市"},A551),0),IFERROR(FIND({"区"},A551),0),IFERROR(FIND({"县"},A551),0))+1,FIND("街道",A551)-MAX(IFERROR(FIND({"省"},A551),0),IFERROR(FIND({"市"},A551),0),IFERROR(FIND({"区"},A551),0),IFERROR(FIND({"县"},A551),0))-1+2)</f>
        <v>杏林街道</v>
      </c>
      <c r="O551" s="4" t="str" cm="1">
        <f t="array" ref="O551">_xlfn.LET(_xlpm.fullText,A551,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551" s="4" t="str" cm="1">
        <f t="array" ref="Q551">_xlfn.LET(_xlpm.fullText,A551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552" spans="1:17">
      <c r="A552" s="3" t="s">
        <v>255</v>
      </c>
      <c r="K552" s="4" t="str" cm="1">
        <f t="array" ref="K552">MID(A552,MAX(IFERROR(FIND({"省","市","区","县"},A552),0))+1,FIND("街道",A552)-MAX(IFERROR(FIND({"省","市","区","县"},A552),0))-1+2)</f>
        <v>湖里街道</v>
      </c>
      <c r="M552" s="4" t="str" cm="1">
        <f t="array" ref="M552">MID(A552,MAX(IFERROR(FIND({"省"},A552),0),IFERROR(FIND({"市"},A552),0),IFERROR(FIND({"区"},A552),0),IFERROR(FIND({"县"},A552),0))+1,FIND("街道",A552)-MAX(IFERROR(FIND({"省"},A552),0),IFERROR(FIND({"市"},A552),0),IFERROR(FIND({"区"},A552),0),IFERROR(FIND({"县"},A552),0))-1+2)</f>
        <v>湖里街道</v>
      </c>
      <c r="O552" s="4" t="str" cm="1">
        <f t="array" ref="O552">_xlfn.LET(_xlpm.fullText,A552,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552" s="4" t="str" cm="1">
        <f t="array" ref="Q552">_xlfn.LET(_xlpm.fullText,A552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553" spans="1:17">
      <c r="A553" s="3" t="s">
        <v>256</v>
      </c>
      <c r="K553" s="4" t="str" cm="1">
        <f t="array" ref="K553">MID(A553,MAX(IFERROR(FIND({"省","市","区","县"},A553),0))+1,FIND("街道",A553)-MAX(IFERROR(FIND({"省","市","区","县"},A553),0))-1+2)</f>
        <v>湖里街道</v>
      </c>
      <c r="M553" s="4" t="str" cm="1">
        <f t="array" ref="M553">MID(A553,MAX(IFERROR(FIND({"省"},A553),0),IFERROR(FIND({"市"},A553),0),IFERROR(FIND({"区"},A553),0),IFERROR(FIND({"县"},A553),0))+1,FIND("街道",A553)-MAX(IFERROR(FIND({"省"},A553),0),IFERROR(FIND({"市"},A553),0),IFERROR(FIND({"区"},A553),0),IFERROR(FIND({"县"},A553),0))-1+2)</f>
        <v>湖里街道</v>
      </c>
      <c r="O553" s="4" t="str" cm="1">
        <f t="array" ref="O553">_xlfn.LET(_xlpm.fullText,A553,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553" s="4" t="str" cm="1">
        <f t="array" ref="Q553">_xlfn.LET(_xlpm.fullText,A553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554" spans="1:17">
      <c r="A554" s="3" t="s">
        <v>257</v>
      </c>
      <c r="K554" s="4" t="str" cm="1">
        <f t="array" ref="K554">MID(A554,MAX(IFERROR(FIND({"省","市","区","县"},A554),0))+1,FIND("街道",A554)-MAX(IFERROR(FIND({"省","市","区","县"},A554),0))-1+2)</f>
        <v>筼筜街道</v>
      </c>
      <c r="M554" s="4" t="str" cm="1">
        <f t="array" ref="M554">MID(A554,MAX(IFERROR(FIND({"省"},A554),0),IFERROR(FIND({"市"},A554),0),IFERROR(FIND({"区"},A554),0),IFERROR(FIND({"县"},A554),0))+1,FIND("街道",A554)-MAX(IFERROR(FIND({"省"},A554),0),IFERROR(FIND({"市"},A554),0),IFERROR(FIND({"区"},A554),0),IFERROR(FIND({"县"},A554),0))-1+2)</f>
        <v>筼筜街道</v>
      </c>
      <c r="O554" s="4" t="str" cm="1">
        <f t="array" ref="O554">_xlfn.LET(_xlpm.fullText,A554,_xlpm.streetPos,FIND("街道",_xlpm.fullText)+2,_xlpm.prefixText,LEFT(_xlpm.fullText,_xlpm.streetPos-1),_xlpm.adminPos,MAX(IFERROR(FIND({"省","市","区","县"},_xlpm.prefixText),0)),IF(_xlpm.adminPos&gt;0,MID(_xlpm.prefixText,_xlpm.adminPos+1,_xlpm.streetPos-_xlpm.adminPos-3+2),LEFT(_xlpm.prefixText,FIND("街道",_xlpm.prefixText)-1+2)))</f>
        <v>筼筜街道</v>
      </c>
      <c r="Q554" s="4" t="str" cm="1">
        <f t="array" ref="Q554">_xlfn.LET(_xlpm.fullText,A554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筼筜街道</v>
      </c>
    </row>
    <row r="555" spans="1:17">
      <c r="A555" s="3" t="s">
        <v>258</v>
      </c>
      <c r="K555" s="4" t="str" cm="1">
        <f t="array" ref="K555">MID(A555,MAX(IFERROR(FIND({"省","市","区","县"},A555),0))+1,FIND("街道",A555)-MAX(IFERROR(FIND({"省","市","区","县"},A555),0))-1+2)</f>
        <v>崇屿街道</v>
      </c>
      <c r="M555" s="4" t="str" cm="1">
        <f t="array" ref="M555">MID(A555,MAX(IFERROR(FIND({"省"},A555),0),IFERROR(FIND({"市"},A555),0),IFERROR(FIND({"区"},A555),0),IFERROR(FIND({"县"},A555),0))+1,FIND("街道",A555)-MAX(IFERROR(FIND({"省"},A555),0),IFERROR(FIND({"市"},A555),0),IFERROR(FIND({"区"},A555),0),IFERROR(FIND({"县"},A555),0))-1+2)</f>
        <v>崇屿街道</v>
      </c>
      <c r="O555" s="4" t="str" cm="1">
        <f t="array" ref="O555">_xlfn.LET(_xlpm.fullText,A555,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555" s="4" t="str" cm="1">
        <f t="array" ref="Q555">_xlfn.LET(_xlpm.fullText,A555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556" spans="1:17">
      <c r="A556" s="3" t="s">
        <v>195</v>
      </c>
      <c r="K556" s="4" t="str" cm="1">
        <f t="array" ref="K556">MID(A556,MAX(IFERROR(FIND({"省","市","区","县"},A556),0))+1,FIND("街道",A556)-MAX(IFERROR(FIND({"省","市","区","县"},A556),0))-1+2)</f>
        <v>海沧街道</v>
      </c>
      <c r="M556" s="4" t="str" cm="1">
        <f t="array" ref="M556">MID(A556,MAX(IFERROR(FIND({"省"},A556),0),IFERROR(FIND({"市"},A556),0),IFERROR(FIND({"区"},A556),0),IFERROR(FIND({"县"},A556),0))+1,FIND("街道",A556)-MAX(IFERROR(FIND({"省"},A556),0),IFERROR(FIND({"市"},A556),0),IFERROR(FIND({"区"},A556),0),IFERROR(FIND({"县"},A556),0))-1+2)</f>
        <v>海沧街道</v>
      </c>
      <c r="O556" s="4" t="str" cm="1">
        <f t="array" ref="O556">_xlfn.LET(_xlpm.fullText,A556,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56" s="4" t="str" cm="1">
        <f t="array" ref="Q556">_xlfn.LET(_xlpm.fullText,A556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57" spans="1:17">
      <c r="A557" s="3" t="s">
        <v>259</v>
      </c>
      <c r="K557" s="4" t="str" cm="1">
        <f t="array" ref="K557">MID(A557,MAX(IFERROR(FIND({"省","市","区","县"},A557),0))+1,FIND("街道",A557)-MAX(IFERROR(FIND({"省","市","区","县"},A557),0))-1+2)</f>
        <v>江头街道</v>
      </c>
      <c r="M557" s="4" t="str" cm="1">
        <f t="array" ref="M557">MID(A557,MAX(IFERROR(FIND({"省"},A557),0),IFERROR(FIND({"市"},A557),0),IFERROR(FIND({"区"},A557),0),IFERROR(FIND({"县"},A557),0))+1,FIND("街道",A557)-MAX(IFERROR(FIND({"省"},A557),0),IFERROR(FIND({"市"},A557),0),IFERROR(FIND({"区"},A557),0),IFERROR(FIND({"县"},A557),0))-1+2)</f>
        <v>江头街道</v>
      </c>
      <c r="O557" s="4" t="str" cm="1">
        <f t="array" ref="O557">_xlfn.LET(_xlpm.fullText,A557,_xlpm.streetPos,FIND("街道",_xlpm.fullText)+2,_xlpm.prefixText,LEFT(_xlpm.fullText,_xlpm.streetPos-1),_xlpm.adminPos,MAX(IFERROR(FIND({"省","市","区","县"},_xlpm.prefixText),0)),IF(_xlpm.adminPos&gt;0,MID(_xlpm.prefixText,_xlpm.adminPos+1,_xlpm.streetPos-_xlpm.adminPos-3+2),LEFT(_xlpm.prefixText,FIND("街道",_xlpm.prefixText)-1+2)))</f>
        <v>江头街道</v>
      </c>
      <c r="Q557" s="4" t="str" cm="1">
        <f t="array" ref="Q557">_xlfn.LET(_xlpm.fullText,A557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江头街道</v>
      </c>
    </row>
    <row r="558" spans="1:17">
      <c r="A558" s="3" t="s">
        <v>260</v>
      </c>
      <c r="K558" s="4" t="str" cm="1">
        <f t="array" ref="K558">MID(A558,MAX(IFERROR(FIND({"省","市","区","县"},A558),0))+1,FIND("街道",A558)-MAX(IFERROR(FIND({"省","市","区","县"},A558),0))-1+2)</f>
        <v>江陵街道</v>
      </c>
      <c r="M558" s="4" t="str" cm="1">
        <f t="array" ref="M558">MID(A558,MAX(IFERROR(FIND({"省"},A558),0),IFERROR(FIND({"市"},A558),0),IFERROR(FIND({"区"},A558),0),IFERROR(FIND({"县"},A558),0))+1,FIND("街道",A558)-MAX(IFERROR(FIND({"省"},A558),0),IFERROR(FIND({"市"},A558),0),IFERROR(FIND({"区"},A558),0),IFERROR(FIND({"县"},A558),0))-1+2)</f>
        <v>江陵街道</v>
      </c>
      <c r="O558" s="4" t="str" cm="1">
        <f t="array" ref="O558">_xlfn.LET(_xlpm.fullText,A558,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558" s="4" t="str" cm="1">
        <f t="array" ref="Q558">_xlfn.LET(_xlpm.fullText,A558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559" spans="1:17">
      <c r="A559" s="3" t="s">
        <v>261</v>
      </c>
      <c r="K559" s="4" t="str" cm="1">
        <f t="array" ref="K559">MID(A559,MAX(IFERROR(FIND({"省","市","区","县"},A559),0))+1,FIND("街道",A559)-MAX(IFERROR(FIND({"省","市","区","县"},A559),0))-1+2)</f>
        <v>江陵街道</v>
      </c>
      <c r="M559" s="4" t="str" cm="1">
        <f t="array" ref="M559">MID(A559,MAX(IFERROR(FIND({"省"},A559),0),IFERROR(FIND({"市"},A559),0),IFERROR(FIND({"区"},A559),0),IFERROR(FIND({"县"},A559),0))+1,FIND("街道",A559)-MAX(IFERROR(FIND({"省"},A559),0),IFERROR(FIND({"市"},A559),0),IFERROR(FIND({"区"},A559),0),IFERROR(FIND({"县"},A559),0))-1+2)</f>
        <v>江陵街道</v>
      </c>
      <c r="O559" s="4" t="str" cm="1">
        <f t="array" ref="O559">_xlfn.LET(_xlpm.fullText,A559,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559" s="4" t="str" cm="1">
        <f t="array" ref="Q559">_xlfn.LET(_xlpm.fullText,A559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560" spans="1:17">
      <c r="A560" s="3" t="s">
        <v>262</v>
      </c>
      <c r="K560" s="4" t="str" cm="1">
        <f t="array" ref="K560">MID(A560,MAX(IFERROR(FIND({"省","市","区","县"},A560),0))+1,FIND("街道",A560)-MAX(IFERROR(FIND({"省","市","区","县"},A560),0))-1+2)</f>
        <v>禾山街道</v>
      </c>
      <c r="M560" s="4" t="str" cm="1">
        <f t="array" ref="M560">MID(A560,MAX(IFERROR(FIND({"省"},A560),0),IFERROR(FIND({"市"},A560),0),IFERROR(FIND({"区"},A560),0),IFERROR(FIND({"县"},A560),0))+1,FIND("街道",A560)-MAX(IFERROR(FIND({"省"},A560),0),IFERROR(FIND({"市"},A560),0),IFERROR(FIND({"区"},A560),0),IFERROR(FIND({"县"},A560),0))-1+2)</f>
        <v>禾山街道</v>
      </c>
      <c r="O560" s="4" t="str" cm="1">
        <f t="array" ref="O560">_xlfn.LET(_xlpm.fullText,A560,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560" s="4" t="str" cm="1">
        <f t="array" ref="Q560">_xlfn.LET(_xlpm.fullText,A560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561" spans="1:17">
      <c r="A561" s="3" t="s">
        <v>27</v>
      </c>
      <c r="K561" s="4" t="str" cm="1">
        <f t="array" ref="K561">MID(A561,MAX(IFERROR(FIND({"省","市","区","县"},A561),0))+1,FIND("街道",A561)-MAX(IFERROR(FIND({"省","市","区","县"},A561),0))-1+2)</f>
        <v>东海街道</v>
      </c>
      <c r="M561" s="4" t="str" cm="1">
        <f t="array" ref="M561">MID(A561,MAX(IFERROR(FIND({"省"},A561),0),IFERROR(FIND({"市"},A561),0),IFERROR(FIND({"区"},A561),0),IFERROR(FIND({"县"},A561),0))+1,FIND("街道",A561)-MAX(IFERROR(FIND({"省"},A561),0),IFERROR(FIND({"市"},A561),0),IFERROR(FIND({"区"},A561),0),IFERROR(FIND({"县"},A561),0))-1+2)</f>
        <v>东海街道</v>
      </c>
      <c r="O561" s="4" t="str" cm="1">
        <f t="array" ref="O561">_xlfn.LET(_xlpm.fullText,A561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61" s="4" t="str" cm="1">
        <f t="array" ref="Q561">_xlfn.LET(_xlpm.fullText,A561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62" spans="1:17">
      <c r="A562" s="3" t="s">
        <v>27</v>
      </c>
      <c r="K562" s="4" t="str" cm="1">
        <f t="array" ref="K562">MID(A562,MAX(IFERROR(FIND({"省","市","区","县"},A562),0))+1,FIND("街道",A562)-MAX(IFERROR(FIND({"省","市","区","县"},A562),0))-1+2)</f>
        <v>东海街道</v>
      </c>
      <c r="M562" s="4" t="str" cm="1">
        <f t="array" ref="M562">MID(A562,MAX(IFERROR(FIND({"省"},A562),0),IFERROR(FIND({"市"},A562),0),IFERROR(FIND({"区"},A562),0),IFERROR(FIND({"县"},A562),0))+1,FIND("街道",A562)-MAX(IFERROR(FIND({"省"},A562),0),IFERROR(FIND({"市"},A562),0),IFERROR(FIND({"区"},A562),0),IFERROR(FIND({"县"},A562),0))-1+2)</f>
        <v>东海街道</v>
      </c>
      <c r="O562" s="4" t="str" cm="1">
        <f t="array" ref="O562">_xlfn.LET(_xlpm.fullText,A562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62" s="4" t="str" cm="1">
        <f t="array" ref="Q562">_xlfn.LET(_xlpm.fullText,A562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63" spans="1:17">
      <c r="A563" s="3" t="s">
        <v>214</v>
      </c>
      <c r="K563" s="4" t="str" cm="1">
        <f t="array" ref="K563">MID(A563,MAX(IFERROR(FIND({"省","市","区","县"},A563),0))+1,FIND("街道",A563)-MAX(IFERROR(FIND({"省","市","区","县"},A563),0))-1+2)</f>
        <v>海沧街道</v>
      </c>
      <c r="M563" s="4" t="str" cm="1">
        <f t="array" ref="M563">MID(A563,MAX(IFERROR(FIND({"省"},A563),0),IFERROR(FIND({"市"},A563),0),IFERROR(FIND({"区"},A563),0),IFERROR(FIND({"县"},A563),0))+1,FIND("街道",A563)-MAX(IFERROR(FIND({"省"},A563),0),IFERROR(FIND({"市"},A563),0),IFERROR(FIND({"区"},A563),0),IFERROR(FIND({"县"},A563),0))-1+2)</f>
        <v>海沧街道</v>
      </c>
      <c r="O563" s="4" t="str" cm="1">
        <f t="array" ref="O563">_xlfn.LET(_xlpm.fullText,A563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63" s="4" t="str" cm="1">
        <f t="array" ref="Q563">_xlfn.LET(_xlpm.fullText,A563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64" spans="1:17">
      <c r="A564" s="3" t="s">
        <v>263</v>
      </c>
      <c r="K564" s="4" t="str" cm="1">
        <f t="array" ref="K564">MID(A564,MAX(IFERROR(FIND({"省","市","区","县"},A564),0))+1,FIND("街道",A564)-MAX(IFERROR(FIND({"省","市","区","县"},A564),0))-1+2)</f>
        <v>火花街道</v>
      </c>
      <c r="M564" s="4" t="str" cm="1">
        <f t="array" ref="M564">MID(A564,MAX(IFERROR(FIND({"省"},A564),0),IFERROR(FIND({"市"},A564),0),IFERROR(FIND({"区"},A564),0),IFERROR(FIND({"县"},A564),0))+1,FIND("街道",A564)-MAX(IFERROR(FIND({"省"},A564),0),IFERROR(FIND({"市"},A564),0),IFERROR(FIND({"区"},A564),0),IFERROR(FIND({"县"},A564),0))-1+2)</f>
        <v>火花街道</v>
      </c>
      <c r="O564" s="4" t="str" cm="1">
        <f t="array" ref="O564">_xlfn.LET(_xlpm.fullText,A564,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564" s="4" t="str" cm="1">
        <f t="array" ref="Q564">_xlfn.LET(_xlpm.fullText,A564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565" spans="1:17">
      <c r="A565" s="3" t="s">
        <v>264</v>
      </c>
      <c r="K565" s="4" t="str" cm="1">
        <f t="array" ref="K565">MID(A565,MAX(IFERROR(FIND({"省","市","区","县"},A565),0))+1,FIND("街道",A565)-MAX(IFERROR(FIND({"省","市","区","县"},A565),0))-1+2)</f>
        <v>东海街道</v>
      </c>
      <c r="M565" s="4" t="str" cm="1">
        <f t="array" ref="M565">MID(A565,MAX(IFERROR(FIND({"省"},A565),0),IFERROR(FIND({"市"},A565),0),IFERROR(FIND({"区"},A565),0),IFERROR(FIND({"县"},A565),0))+1,FIND("街道",A565)-MAX(IFERROR(FIND({"省"},A565),0),IFERROR(FIND({"市"},A565),0),IFERROR(FIND({"区"},A565),0),IFERROR(FIND({"县"},A565),0))-1+2)</f>
        <v>东海街道</v>
      </c>
      <c r="O565" s="4" t="str" cm="1">
        <f t="array" ref="O565">_xlfn.LET(_xlpm.fullText,A565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65" s="4" t="str" cm="1">
        <f t="array" ref="Q565">_xlfn.LET(_xlpm.fullText,A565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66" spans="1:17">
      <c r="A566" s="3" t="s">
        <v>250</v>
      </c>
      <c r="K566" s="4" t="str" cm="1">
        <f t="array" ref="K566">MID(A566,MAX(IFERROR(FIND({"省","市","区","县"},A566),0))+1,FIND("街道",A566)-MAX(IFERROR(FIND({"省","市","区","县"},A566),0))-1+2)</f>
        <v>鹭江街道</v>
      </c>
      <c r="M566" s="4" t="str" cm="1">
        <f t="array" ref="M566">MID(A566,MAX(IFERROR(FIND({"省"},A566),0),IFERROR(FIND({"市"},A566),0),IFERROR(FIND({"区"},A566),0),IFERROR(FIND({"县"},A566),0))+1,FIND("街道",A566)-MAX(IFERROR(FIND({"省"},A566),0),IFERROR(FIND({"市"},A566),0),IFERROR(FIND({"区"},A566),0),IFERROR(FIND({"县"},A566),0))-1+2)</f>
        <v>鹭江街道</v>
      </c>
      <c r="O566" s="4" t="str" cm="1">
        <f t="array" ref="O566">_xlfn.LET(_xlpm.fullText,A566,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66" s="4" t="str" cm="1">
        <f t="array" ref="Q566">_xlfn.LET(_xlpm.fullText,A566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67" spans="1:17">
      <c r="A567" s="3" t="s">
        <v>265</v>
      </c>
      <c r="K567" s="4" t="str" cm="1">
        <f t="array" ref="K567">MID(A567,MAX(IFERROR(FIND({"省","市","区","县"},A567),0))+1,FIND("街道",A567)-MAX(IFERROR(FIND({"省","市","区","县"},A567),0))-1+2)</f>
        <v>崇屿街道</v>
      </c>
      <c r="M567" s="4" t="str" cm="1">
        <f t="array" ref="M567">MID(A567,MAX(IFERROR(FIND({"省"},A567),0),IFERROR(FIND({"市"},A567),0),IFERROR(FIND({"区"},A567),0),IFERROR(FIND({"县"},A567),0))+1,FIND("街道",A567)-MAX(IFERROR(FIND({"省"},A567),0),IFERROR(FIND({"市"},A567),0),IFERROR(FIND({"区"},A567),0),IFERROR(FIND({"县"},A567),0))-1+2)</f>
        <v>崇屿街道</v>
      </c>
      <c r="O567" s="4" t="str" cm="1">
        <f t="array" ref="O567">_xlfn.LET(_xlpm.fullText,A567,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567" s="4" t="str" cm="1">
        <f t="array" ref="Q567">_xlfn.LET(_xlpm.fullText,A567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568" spans="1:17">
      <c r="A568" s="3" t="s">
        <v>266</v>
      </c>
      <c r="K568" s="4" t="str" cm="1">
        <f t="array" ref="K568">MID(A568,MAX(IFERROR(FIND({"省","市","区","县"},A568),0))+1,FIND("街道",A568)-MAX(IFERROR(FIND({"省","市","区","县"},A568),0))-1+2)</f>
        <v>湖滨街道</v>
      </c>
      <c r="M568" s="4" t="str" cm="1">
        <f t="array" ref="M568">MID(A568,MAX(IFERROR(FIND({"省"},A568),0),IFERROR(FIND({"市"},A568),0),IFERROR(FIND({"区"},A568),0),IFERROR(FIND({"县"},A568),0))+1,FIND("街道",A568)-MAX(IFERROR(FIND({"省"},A568),0),IFERROR(FIND({"市"},A568),0),IFERROR(FIND({"区"},A568),0),IFERROR(FIND({"县"},A568),0))-1+2)</f>
        <v>湖滨街道</v>
      </c>
      <c r="O568" s="4" t="str" cm="1">
        <f t="array" ref="O568">_xlfn.LET(_xlpm.fullText,A568,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568" s="4" t="str" cm="1">
        <f t="array" ref="Q568">_xlfn.LET(_xlpm.fullText,A568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569" ht="28.8" spans="1:17">
      <c r="A569" s="3" t="s">
        <v>111</v>
      </c>
      <c r="K569" s="4" t="str" cm="1">
        <f t="array" ref="K569">MID(A569,MAX(IFERROR(FIND({"省","市","区","县"},A569),0))+1,FIND("街道",A569)-MAX(IFERROR(FIND({"省","市","区","县"},A569),0))-1+2)</f>
        <v>金山桥街道</v>
      </c>
      <c r="M569" s="4" t="str" cm="1">
        <f t="array" ref="M569">MID(A569,MAX(IFERROR(FIND({"省"},A569),0),IFERROR(FIND({"市"},A569),0),IFERROR(FIND({"区"},A569),0),IFERROR(FIND({"县"},A569),0))+1,FIND("街道",A569)-MAX(IFERROR(FIND({"省"},A569),0),IFERROR(FIND({"市"},A569),0),IFERROR(FIND({"区"},A569),0),IFERROR(FIND({"县"},A569),0))-1+2)</f>
        <v>金山桥街道</v>
      </c>
      <c r="O569" s="4" t="str" cm="1">
        <f t="array" ref="O569">_xlfn.LET(_xlpm.fullText,A569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569" s="4" t="str" cm="1">
        <f t="array" ref="Q569">_xlfn.LET(_xlpm.fullText,A569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570" spans="1:17">
      <c r="A570" s="3" t="s">
        <v>263</v>
      </c>
      <c r="K570" s="4" t="str" cm="1">
        <f t="array" ref="K570">MID(A570,MAX(IFERROR(FIND({"省","市","区","县"},A570),0))+1,FIND("街道",A570)-MAX(IFERROR(FIND({"省","市","区","县"},A570),0))-1+2)</f>
        <v>火花街道</v>
      </c>
      <c r="M570" s="4" t="str" cm="1">
        <f t="array" ref="M570">MID(A570,MAX(IFERROR(FIND({"省"},A570),0),IFERROR(FIND({"市"},A570),0),IFERROR(FIND({"区"},A570),0),IFERROR(FIND({"县"},A570),0))+1,FIND("街道",A570)-MAX(IFERROR(FIND({"省"},A570),0),IFERROR(FIND({"市"},A570),0),IFERROR(FIND({"区"},A570),0),IFERROR(FIND({"县"},A570),0))-1+2)</f>
        <v>火花街道</v>
      </c>
      <c r="O570" s="4" t="str" cm="1">
        <f t="array" ref="O570">_xlfn.LET(_xlpm.fullText,A570,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570" s="4" t="str" cm="1">
        <f t="array" ref="Q570">_xlfn.LET(_xlpm.fullText,A570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571" spans="1:17">
      <c r="A571" s="3" t="s">
        <v>267</v>
      </c>
      <c r="K571" s="4" t="str" cm="1">
        <f t="array" ref="K571">MID(A571,MAX(IFERROR(FIND({"省","市","区","县"},A571),0))+1,FIND("街道",A571)-MAX(IFERROR(FIND({"省","市","区","县"},A571),0))-1+2)</f>
        <v>崇屿街道</v>
      </c>
      <c r="M571" s="4" t="str" cm="1">
        <f t="array" ref="M571">MID(A571,MAX(IFERROR(FIND({"省"},A571),0),IFERROR(FIND({"市"},A571),0),IFERROR(FIND({"区"},A571),0),IFERROR(FIND({"县"},A571),0))+1,FIND("街道",A571)-MAX(IFERROR(FIND({"省"},A571),0),IFERROR(FIND({"市"},A571),0),IFERROR(FIND({"区"},A571),0),IFERROR(FIND({"县"},A571),0))-1+2)</f>
        <v>崇屿街道</v>
      </c>
      <c r="O571" s="4" t="str" cm="1">
        <f t="array" ref="O571">_xlfn.LET(_xlpm.fullText,A571,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571" s="4" t="str" cm="1">
        <f t="array" ref="Q571">_xlfn.LET(_xlpm.fullText,A571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572" spans="1:17">
      <c r="A572" s="3" t="s">
        <v>117</v>
      </c>
      <c r="K572" s="4" t="str" cm="1">
        <f t="array" ref="K572">MID(A572,MAX(IFERROR(FIND({"省","市","区","县"},A572),0))+1,FIND("街道",A572)-MAX(IFERROR(FIND({"省","市","区","县"},A572),0))-1+2)</f>
        <v>海沧街道</v>
      </c>
      <c r="M572" s="4" t="str" cm="1">
        <f t="array" ref="M572">MID(A572,MAX(IFERROR(FIND({"省"},A572),0),IFERROR(FIND({"市"},A572),0),IFERROR(FIND({"区"},A572),0),IFERROR(FIND({"县"},A572),0))+1,FIND("街道",A572)-MAX(IFERROR(FIND({"省"},A572),0),IFERROR(FIND({"市"},A572),0),IFERROR(FIND({"区"},A572),0),IFERROR(FIND({"县"},A572),0))-1+2)</f>
        <v>海沧街道</v>
      </c>
      <c r="O572" s="4" t="str" cm="1">
        <f t="array" ref="O572">_xlfn.LET(_xlpm.fullText,A572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72" s="4" t="str" cm="1">
        <f t="array" ref="Q572">_xlfn.LET(_xlpm.fullText,A572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73" spans="1:17">
      <c r="A573" s="3" t="s">
        <v>268</v>
      </c>
      <c r="K573" s="4" t="str" cm="1">
        <f t="array" ref="K573">MID(A573,MAX(IFERROR(FIND({"省","市","区","县"},A573),0))+1,FIND("街道",A573)-MAX(IFERROR(FIND({"省","市","区","县"},A573),0))-1+2)</f>
        <v>杏林街道</v>
      </c>
      <c r="M573" s="4" t="str" cm="1">
        <f t="array" ref="M573">MID(A573,MAX(IFERROR(FIND({"省"},A573),0),IFERROR(FIND({"市"},A573),0),IFERROR(FIND({"区"},A573),0),IFERROR(FIND({"县"},A573),0))+1,FIND("街道",A573)-MAX(IFERROR(FIND({"省"},A573),0),IFERROR(FIND({"市"},A573),0),IFERROR(FIND({"区"},A573),0),IFERROR(FIND({"县"},A573),0))-1+2)</f>
        <v>杏林街道</v>
      </c>
      <c r="O573" s="4" t="str" cm="1">
        <f t="array" ref="O573">_xlfn.LET(_xlpm.fullText,A573,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573" s="4" t="str" cm="1">
        <f t="array" ref="Q573">_xlfn.LET(_xlpm.fullText,A573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574" spans="1:17">
      <c r="A574" s="3" t="s">
        <v>252</v>
      </c>
      <c r="K574" s="4" t="str" cm="1">
        <f t="array" ref="K574">MID(A574,MAX(IFERROR(FIND({"省","市","区","县"},A574),0))+1,FIND("街道",A574)-MAX(IFERROR(FIND({"省","市","区","县"},A574),0))-1+2)</f>
        <v>鹭江街道</v>
      </c>
      <c r="M574" s="4" t="str" cm="1">
        <f t="array" ref="M574">MID(A574,MAX(IFERROR(FIND({"省"},A574),0),IFERROR(FIND({"市"},A574),0),IFERROR(FIND({"区"},A574),0),IFERROR(FIND({"县"},A574),0))+1,FIND("街道",A574)-MAX(IFERROR(FIND({"省"},A574),0),IFERROR(FIND({"市"},A574),0),IFERROR(FIND({"区"},A574),0),IFERROR(FIND({"县"},A574),0))-1+2)</f>
        <v>鹭江街道</v>
      </c>
      <c r="O574" s="4" t="str" cm="1">
        <f t="array" ref="O574">_xlfn.LET(_xlpm.fullText,A574,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74" s="4" t="str" cm="1">
        <f t="array" ref="Q574">_xlfn.LET(_xlpm.fullText,A574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75" spans="1:17">
      <c r="A575" s="3" t="s">
        <v>269</v>
      </c>
      <c r="K575" s="4" t="str" cm="1">
        <f t="array" ref="K575">MID(A575,MAX(IFERROR(FIND({"省","市","区","县"},A575),0))+1,FIND("街道",A575)-MAX(IFERROR(FIND({"省","市","区","县"},A575),0))-1+2)</f>
        <v>崇屿街道</v>
      </c>
      <c r="M575" s="4" t="str" cm="1">
        <f t="array" ref="M575">MID(A575,MAX(IFERROR(FIND({"省"},A575),0),IFERROR(FIND({"市"},A575),0),IFERROR(FIND({"区"},A575),0),IFERROR(FIND({"县"},A575),0))+1,FIND("街道",A575)-MAX(IFERROR(FIND({"省"},A575),0),IFERROR(FIND({"市"},A575),0),IFERROR(FIND({"区"},A575),0),IFERROR(FIND({"县"},A575),0))-1+2)</f>
        <v>崇屿街道</v>
      </c>
      <c r="O575" s="4" t="str" cm="1">
        <f t="array" ref="O575">_xlfn.LET(_xlpm.fullText,A575,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575" s="4" t="str" cm="1">
        <f t="array" ref="Q575">_xlfn.LET(_xlpm.fullText,A575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576" spans="1:17">
      <c r="A576" s="3" t="s">
        <v>270</v>
      </c>
      <c r="K576" s="4" t="str" cm="1">
        <f t="array" ref="K576">MID(A576,MAX(IFERROR(FIND({"省","市","区","县"},A576),0))+1,FIND("街道",A576)-MAX(IFERROR(FIND({"省","市","区","县"},A576),0))-1+2)</f>
        <v>海沧街道</v>
      </c>
      <c r="M576" s="4" t="str" cm="1">
        <f t="array" ref="M576">MID(A576,MAX(IFERROR(FIND({"省"},A576),0),IFERROR(FIND({"市"},A576),0),IFERROR(FIND({"区"},A576),0),IFERROR(FIND({"县"},A576),0))+1,FIND("街道",A576)-MAX(IFERROR(FIND({"省"},A576),0),IFERROR(FIND({"市"},A576),0),IFERROR(FIND({"区"},A576),0),IFERROR(FIND({"县"},A576),0))-1+2)</f>
        <v>海沧街道</v>
      </c>
      <c r="O576" s="4" t="str" cm="1">
        <f t="array" ref="O576">_xlfn.LET(_xlpm.fullText,A576,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76" s="4" t="str" cm="1">
        <f t="array" ref="Q576">_xlfn.LET(_xlpm.fullText,A576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77" spans="1:17">
      <c r="A577" s="3" t="s">
        <v>271</v>
      </c>
      <c r="K577" s="4" t="str" cm="1">
        <f t="array" ref="K577">MID(A577,MAX(IFERROR(FIND({"省","市","区","县"},A577),0))+1,FIND("街道",A577)-MAX(IFERROR(FIND({"省","市","区","县"},A577),0))-1+2)</f>
        <v>丰泽街道</v>
      </c>
      <c r="M577" s="4" t="str" cm="1">
        <f t="array" ref="M577">MID(A577,MAX(IFERROR(FIND({"省"},A577),0),IFERROR(FIND({"市"},A577),0),IFERROR(FIND({"区"},A577),0),IFERROR(FIND({"县"},A577),0))+1,FIND("街道",A577)-MAX(IFERROR(FIND({"省"},A577),0),IFERROR(FIND({"市"},A577),0),IFERROR(FIND({"区"},A577),0),IFERROR(FIND({"县"},A577),0))-1+2)</f>
        <v>丰泽街道</v>
      </c>
      <c r="O577" s="4" t="str" cm="1">
        <f t="array" ref="O577">_xlfn.LET(_xlpm.fullText,A577,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577" s="4" t="str" cm="1">
        <f t="array" ref="Q577">_xlfn.LET(_xlpm.fullText,A577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578" spans="1:17">
      <c r="A578" s="3" t="s">
        <v>195</v>
      </c>
      <c r="K578" s="4" t="str" cm="1">
        <f t="array" ref="K578">MID(A578,MAX(IFERROR(FIND({"省","市","区","县"},A578),0))+1,FIND("街道",A578)-MAX(IFERROR(FIND({"省","市","区","县"},A578),0))-1+2)</f>
        <v>海沧街道</v>
      </c>
      <c r="M578" s="4" t="str" cm="1">
        <f t="array" ref="M578">MID(A578,MAX(IFERROR(FIND({"省"},A578),0),IFERROR(FIND({"市"},A578),0),IFERROR(FIND({"区"},A578),0),IFERROR(FIND({"县"},A578),0))+1,FIND("街道",A578)-MAX(IFERROR(FIND({"省"},A578),0),IFERROR(FIND({"市"},A578),0),IFERROR(FIND({"区"},A578),0),IFERROR(FIND({"县"},A578),0))-1+2)</f>
        <v>海沧街道</v>
      </c>
      <c r="O578" s="4" t="str" cm="1">
        <f t="array" ref="O578">_xlfn.LET(_xlpm.fullText,A578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78" s="4" t="str" cm="1">
        <f t="array" ref="Q578">_xlfn.LET(_xlpm.fullText,A578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79" spans="1:17">
      <c r="A579" s="3" t="s">
        <v>272</v>
      </c>
      <c r="K579" s="4" t="str" cm="1">
        <f t="array" ref="K579">MID(A579,MAX(IFERROR(FIND({"省","市","区","县"},A579),0))+1,FIND("街道",A579)-MAX(IFERROR(FIND({"省","市","区","县"},A579),0))-1+2)</f>
        <v>江头街道</v>
      </c>
      <c r="M579" s="4" t="str" cm="1">
        <f t="array" ref="M579">MID(A579,MAX(IFERROR(FIND({"省"},A579),0),IFERROR(FIND({"市"},A579),0),IFERROR(FIND({"区"},A579),0),IFERROR(FIND({"县"},A579),0))+1,FIND("街道",A579)-MAX(IFERROR(FIND({"省"},A579),0),IFERROR(FIND({"市"},A579),0),IFERROR(FIND({"区"},A579),0),IFERROR(FIND({"县"},A579),0))-1+2)</f>
        <v>江头街道</v>
      </c>
      <c r="O579" s="4" t="str" cm="1">
        <f t="array" ref="O579">_xlfn.LET(_xlpm.fullText,A579,_xlpm.streetPos,FIND("街道",_xlpm.fullText)+2,_xlpm.prefixText,LEFT(_xlpm.fullText,_xlpm.streetPos-1),_xlpm.adminPos,MAX(IFERROR(FIND({"省","市","区","县"},_xlpm.prefixText),0)),IF(_xlpm.adminPos&gt;0,MID(_xlpm.prefixText,_xlpm.adminPos+1,_xlpm.streetPos-_xlpm.adminPos-3+2),LEFT(_xlpm.prefixText,FIND("街道",_xlpm.prefixText)-1+2)))</f>
        <v>江头街道</v>
      </c>
      <c r="Q579" s="4" t="str" cm="1">
        <f t="array" ref="Q579">_xlfn.LET(_xlpm.fullText,A579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江头街道</v>
      </c>
    </row>
    <row r="580" spans="1:17">
      <c r="A580" s="3" t="s">
        <v>195</v>
      </c>
      <c r="K580" s="4" t="str" cm="1">
        <f t="array" ref="K580">MID(A580,MAX(IFERROR(FIND({"省","市","区","县"},A580),0))+1,FIND("街道",A580)-MAX(IFERROR(FIND({"省","市","区","县"},A580),0))-1+2)</f>
        <v>海沧街道</v>
      </c>
      <c r="M580" s="4" t="str" cm="1">
        <f t="array" ref="M580">MID(A580,MAX(IFERROR(FIND({"省"},A580),0),IFERROR(FIND({"市"},A580),0),IFERROR(FIND({"区"},A580),0),IFERROR(FIND({"县"},A580),0))+1,FIND("街道",A580)-MAX(IFERROR(FIND({"省"},A580),0),IFERROR(FIND({"市"},A580),0),IFERROR(FIND({"区"},A580),0),IFERROR(FIND({"县"},A580),0))-1+2)</f>
        <v>海沧街道</v>
      </c>
      <c r="O580" s="4" t="str" cm="1">
        <f t="array" ref="O580">_xlfn.LET(_xlpm.fullText,A580,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80" s="4" t="str" cm="1">
        <f t="array" ref="Q580">_xlfn.LET(_xlpm.fullText,A580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81" spans="1:17">
      <c r="A581" s="3" t="s">
        <v>195</v>
      </c>
      <c r="K581" s="4" t="str" cm="1">
        <f t="array" ref="K581">MID(A581,MAX(IFERROR(FIND({"省","市","区","县"},A581),0))+1,FIND("街道",A581)-MAX(IFERROR(FIND({"省","市","区","县"},A581),0))-1+2)</f>
        <v>海沧街道</v>
      </c>
      <c r="M581" s="4" t="str" cm="1">
        <f t="array" ref="M581">MID(A581,MAX(IFERROR(FIND({"省"},A581),0),IFERROR(FIND({"市"},A581),0),IFERROR(FIND({"区"},A581),0),IFERROR(FIND({"县"},A581),0))+1,FIND("街道",A581)-MAX(IFERROR(FIND({"省"},A581),0),IFERROR(FIND({"市"},A581),0),IFERROR(FIND({"区"},A581),0),IFERROR(FIND({"县"},A581),0))-1+2)</f>
        <v>海沧街道</v>
      </c>
      <c r="O581" s="4" t="str" cm="1">
        <f t="array" ref="O581">_xlfn.LET(_xlpm.fullText,A581,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81" s="4" t="str" cm="1">
        <f t="array" ref="Q581">_xlfn.LET(_xlpm.fullText,A581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82" spans="1:17">
      <c r="A582" s="3" t="s">
        <v>252</v>
      </c>
      <c r="K582" s="4" t="str" cm="1">
        <f t="array" ref="K582">MID(A582,MAX(IFERROR(FIND({"省","市","区","县"},A582),0))+1,FIND("街道",A582)-MAX(IFERROR(FIND({"省","市","区","县"},A582),0))-1+2)</f>
        <v>鹭江街道</v>
      </c>
      <c r="M582" s="4" t="str" cm="1">
        <f t="array" ref="M582">MID(A582,MAX(IFERROR(FIND({"省"},A582),0),IFERROR(FIND({"市"},A582),0),IFERROR(FIND({"区"},A582),0),IFERROR(FIND({"县"},A582),0))+1,FIND("街道",A582)-MAX(IFERROR(FIND({"省"},A582),0),IFERROR(FIND({"市"},A582),0),IFERROR(FIND({"区"},A582),0),IFERROR(FIND({"县"},A582),0))-1+2)</f>
        <v>鹭江街道</v>
      </c>
      <c r="O582" s="4" t="str" cm="1">
        <f t="array" ref="O582">_xlfn.LET(_xlpm.fullText,A582,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82" s="4" t="str" cm="1">
        <f t="array" ref="Q582">_xlfn.LET(_xlpm.fullText,A582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83" spans="1:17">
      <c r="A583" s="3" t="s">
        <v>27</v>
      </c>
      <c r="K583" s="4" t="str" cm="1">
        <f t="array" ref="K583">MID(A583,MAX(IFERROR(FIND({"省","市","区","县"},A583),0))+1,FIND("街道",A583)-MAX(IFERROR(FIND({"省","市","区","县"},A583),0))-1+2)</f>
        <v>东海街道</v>
      </c>
      <c r="M583" s="4" t="str" cm="1">
        <f t="array" ref="M583">MID(A583,MAX(IFERROR(FIND({"省"},A583),0),IFERROR(FIND({"市"},A583),0),IFERROR(FIND({"区"},A583),0),IFERROR(FIND({"县"},A583),0))+1,FIND("街道",A583)-MAX(IFERROR(FIND({"省"},A583),0),IFERROR(FIND({"市"},A583),0),IFERROR(FIND({"区"},A583),0),IFERROR(FIND({"县"},A583),0))-1+2)</f>
        <v>东海街道</v>
      </c>
      <c r="O583" s="4" t="str" cm="1">
        <f t="array" ref="O583">_xlfn.LET(_xlpm.fullText,A583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83" s="4" t="str" cm="1">
        <f t="array" ref="Q583">_xlfn.LET(_xlpm.fullText,A583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84" spans="1:17">
      <c r="A584" s="3" t="s">
        <v>273</v>
      </c>
      <c r="K584" s="4" t="str" cm="1">
        <f t="array" ref="K584">MID(A584,MAX(IFERROR(FIND({"省","市","区","县"},A584),0))+1,FIND("街道",A584)-MAX(IFERROR(FIND({"省","市","区","县"},A584),0))-1+2)</f>
        <v>湖里街道</v>
      </c>
      <c r="M584" s="4" t="str" cm="1">
        <f t="array" ref="M584">MID(A584,MAX(IFERROR(FIND({"省"},A584),0),IFERROR(FIND({"市"},A584),0),IFERROR(FIND({"区"},A584),0),IFERROR(FIND({"县"},A584),0))+1,FIND("街道",A584)-MAX(IFERROR(FIND({"省"},A584),0),IFERROR(FIND({"市"},A584),0),IFERROR(FIND({"区"},A584),0),IFERROR(FIND({"县"},A584),0))-1+2)</f>
        <v>湖里街道</v>
      </c>
      <c r="O584" s="4" t="str" cm="1">
        <f t="array" ref="O584">_xlfn.LET(_xlpm.fullText,A584,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584" s="4" t="str" cm="1">
        <f t="array" ref="Q584">_xlfn.LET(_xlpm.fullText,A584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585" spans="1:17">
      <c r="A585" s="3" t="s">
        <v>274</v>
      </c>
      <c r="K585" s="4" t="str" cm="1">
        <f t="array" ref="K585">MID(A585,MAX(IFERROR(FIND({"省","市","区","县"},A585),0))+1,FIND("街道",A585)-MAX(IFERROR(FIND({"省","市","区","县"},A585),0))-1+2)</f>
        <v>崇屿街道</v>
      </c>
      <c r="M585" s="4" t="str" cm="1">
        <f t="array" ref="M585">MID(A585,MAX(IFERROR(FIND({"省"},A585),0),IFERROR(FIND({"市"},A585),0),IFERROR(FIND({"区"},A585),0),IFERROR(FIND({"县"},A585),0))+1,FIND("街道",A585)-MAX(IFERROR(FIND({"省"},A585),0),IFERROR(FIND({"市"},A585),0),IFERROR(FIND({"区"},A585),0),IFERROR(FIND({"县"},A585),0))-1+2)</f>
        <v>崇屿街道</v>
      </c>
      <c r="O585" s="4" t="str" cm="1">
        <f t="array" ref="O585">_xlfn.LET(_xlpm.fullText,A585,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585" s="4" t="str" cm="1">
        <f t="array" ref="Q585">_xlfn.LET(_xlpm.fullText,A585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586" spans="1:17">
      <c r="A586" s="3" t="s">
        <v>195</v>
      </c>
      <c r="K586" s="4" t="str" cm="1">
        <f t="array" ref="K586">MID(A586,MAX(IFERROR(FIND({"省","市","区","县"},A586),0))+1,FIND("街道",A586)-MAX(IFERROR(FIND({"省","市","区","县"},A586),0))-1+2)</f>
        <v>海沧街道</v>
      </c>
      <c r="M586" s="4" t="str" cm="1">
        <f t="array" ref="M586">MID(A586,MAX(IFERROR(FIND({"省"},A586),0),IFERROR(FIND({"市"},A586),0),IFERROR(FIND({"区"},A586),0),IFERROR(FIND({"县"},A586),0))+1,FIND("街道",A586)-MAX(IFERROR(FIND({"省"},A586),0),IFERROR(FIND({"市"},A586),0),IFERROR(FIND({"区"},A586),0),IFERROR(FIND({"县"},A586),0))-1+2)</f>
        <v>海沧街道</v>
      </c>
      <c r="O586" s="4" t="str" cm="1">
        <f t="array" ref="O586">_xlfn.LET(_xlpm.fullText,A586,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86" s="4" t="str" cm="1">
        <f t="array" ref="Q586">_xlfn.LET(_xlpm.fullText,A586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87" spans="1:17">
      <c r="A587" s="3" t="s">
        <v>195</v>
      </c>
      <c r="K587" s="4" t="str" cm="1">
        <f t="array" ref="K587">MID(A587,MAX(IFERROR(FIND({"省","市","区","县"},A587),0))+1,FIND("街道",A587)-MAX(IFERROR(FIND({"省","市","区","县"},A587),0))-1+2)</f>
        <v>海沧街道</v>
      </c>
      <c r="M587" s="4" t="str" cm="1">
        <f t="array" ref="M587">MID(A587,MAX(IFERROR(FIND({"省"},A587),0),IFERROR(FIND({"市"},A587),0),IFERROR(FIND({"区"},A587),0),IFERROR(FIND({"县"},A587),0))+1,FIND("街道",A587)-MAX(IFERROR(FIND({"省"},A587),0),IFERROR(FIND({"市"},A587),0),IFERROR(FIND({"区"},A587),0),IFERROR(FIND({"县"},A587),0))-1+2)</f>
        <v>海沧街道</v>
      </c>
      <c r="O587" s="4" t="str" cm="1">
        <f t="array" ref="O587">_xlfn.LET(_xlpm.fullText,A587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87" s="4" t="str" cm="1">
        <f t="array" ref="Q587">_xlfn.LET(_xlpm.fullText,A587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88" spans="1:17">
      <c r="A588" s="3" t="s">
        <v>264</v>
      </c>
      <c r="K588" s="4" t="str" cm="1">
        <f t="array" ref="K588">MID(A588,MAX(IFERROR(FIND({"省","市","区","县"},A588),0))+1,FIND("街道",A588)-MAX(IFERROR(FIND({"省","市","区","县"},A588),0))-1+2)</f>
        <v>东海街道</v>
      </c>
      <c r="M588" s="4" t="str" cm="1">
        <f t="array" ref="M588">MID(A588,MAX(IFERROR(FIND({"省"},A588),0),IFERROR(FIND({"市"},A588),0),IFERROR(FIND({"区"},A588),0),IFERROR(FIND({"县"},A588),0))+1,FIND("街道",A588)-MAX(IFERROR(FIND({"省"},A588),0),IFERROR(FIND({"市"},A588),0),IFERROR(FIND({"区"},A588),0),IFERROR(FIND({"县"},A588),0))-1+2)</f>
        <v>东海街道</v>
      </c>
      <c r="O588" s="4" t="str" cm="1">
        <f t="array" ref="O588">_xlfn.LET(_xlpm.fullText,A588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88" s="4" t="str" cm="1">
        <f t="array" ref="Q588">_xlfn.LET(_xlpm.fullText,A588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589" spans="1:17">
      <c r="A589" s="3" t="s">
        <v>275</v>
      </c>
      <c r="K589" s="4" t="str" cm="1">
        <f t="array" ref="K589">MID(A589,MAX(IFERROR(FIND({"省","市","区","县"},A589),0))+1,FIND("街道",A589)-MAX(IFERROR(FIND({"省","市","区","县"},A589),0))-1+2)</f>
        <v>海沧街道</v>
      </c>
      <c r="M589" s="4" t="str" cm="1">
        <f t="array" ref="M589">MID(A589,MAX(IFERROR(FIND({"省"},A589),0),IFERROR(FIND({"市"},A589),0),IFERROR(FIND({"区"},A589),0),IFERROR(FIND({"县"},A589),0))+1,FIND("街道",A589)-MAX(IFERROR(FIND({"省"},A589),0),IFERROR(FIND({"市"},A589),0),IFERROR(FIND({"区"},A589),0),IFERROR(FIND({"县"},A589),0))-1+2)</f>
        <v>海沧街道</v>
      </c>
      <c r="O589" s="4" t="str" cm="1">
        <f t="array" ref="O589">_xlfn.LET(_xlpm.fullText,A589,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89" s="4" t="str" cm="1">
        <f t="array" ref="Q589">_xlfn.LET(_xlpm.fullText,A589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0" spans="1:17">
      <c r="A590" s="3" t="s">
        <v>276</v>
      </c>
      <c r="K590" s="4" t="str" cm="1">
        <f t="array" ref="K590">MID(A590,MAX(IFERROR(FIND({"省","市","区","县"},A590),0))+1,FIND("街道",A590)-MAX(IFERROR(FIND({"省","市","区","县"},A590),0))-1+2)</f>
        <v>鹭江街道</v>
      </c>
      <c r="M590" s="4" t="str" cm="1">
        <f t="array" ref="M590">MID(A590,MAX(IFERROR(FIND({"省"},A590),0),IFERROR(FIND({"市"},A590),0),IFERROR(FIND({"区"},A590),0),IFERROR(FIND({"县"},A590),0))+1,FIND("街道",A590)-MAX(IFERROR(FIND({"省"},A590),0),IFERROR(FIND({"市"},A590),0),IFERROR(FIND({"区"},A590),0),IFERROR(FIND({"县"},A590),0))-1+2)</f>
        <v>鹭江街道</v>
      </c>
      <c r="O590" s="4" t="str" cm="1">
        <f t="array" ref="O590">_xlfn.LET(_xlpm.fullText,A590,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590" s="4" t="str" cm="1">
        <f t="array" ref="Q590">_xlfn.LET(_xlpm.fullText,A590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591" spans="1:17">
      <c r="A591" s="3" t="s">
        <v>277</v>
      </c>
      <c r="K591" s="4" t="str" cm="1">
        <f t="array" ref="K591">MID(A591,MAX(IFERROR(FIND({"省","市","区","县"},A591),0))+1,FIND("街道",A591)-MAX(IFERROR(FIND({"省","市","区","县"},A591),0))-1+2)</f>
        <v>海沧街道</v>
      </c>
      <c r="M591" s="4" t="str" cm="1">
        <f t="array" ref="M591">MID(A591,MAX(IFERROR(FIND({"省"},A591),0),IFERROR(FIND({"市"},A591),0),IFERROR(FIND({"区"},A591),0),IFERROR(FIND({"县"},A591),0))+1,FIND("街道",A591)-MAX(IFERROR(FIND({"省"},A591),0),IFERROR(FIND({"市"},A591),0),IFERROR(FIND({"区"},A591),0),IFERROR(FIND({"县"},A591),0))-1+2)</f>
        <v>海沧街道</v>
      </c>
      <c r="O591" s="4" t="str" cm="1">
        <f t="array" ref="O591">_xlfn.LET(_xlpm.fullText,A591,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91" s="4" t="str" cm="1">
        <f t="array" ref="Q591">_xlfn.LET(_xlpm.fullText,A591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2" spans="1:17">
      <c r="A592" s="3" t="s">
        <v>117</v>
      </c>
      <c r="K592" s="4" t="str" cm="1">
        <f t="array" ref="K592">MID(A592,MAX(IFERROR(FIND({"省","市","区","县"},A592),0))+1,FIND("街道",A592)-MAX(IFERROR(FIND({"省","市","区","县"},A592),0))-1+2)</f>
        <v>海沧街道</v>
      </c>
      <c r="M592" s="4" t="str" cm="1">
        <f t="array" ref="M592">MID(A592,MAX(IFERROR(FIND({"省"},A592),0),IFERROR(FIND({"市"},A592),0),IFERROR(FIND({"区"},A592),0),IFERROR(FIND({"县"},A592),0))+1,FIND("街道",A592)-MAX(IFERROR(FIND({"省"},A592),0),IFERROR(FIND({"市"},A592),0),IFERROR(FIND({"区"},A592),0),IFERROR(FIND({"县"},A592),0))-1+2)</f>
        <v>海沧街道</v>
      </c>
      <c r="O592" s="4" t="str" cm="1">
        <f t="array" ref="O592">_xlfn.LET(_xlpm.fullText,A592,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92" s="4" t="str" cm="1">
        <f t="array" ref="Q592">_xlfn.LET(_xlpm.fullText,A592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3" spans="1:17">
      <c r="A593" s="3" t="s">
        <v>195</v>
      </c>
      <c r="K593" s="4" t="str" cm="1">
        <f t="array" ref="K593">MID(A593,MAX(IFERROR(FIND({"省","市","区","县"},A593),0))+1,FIND("街道",A593)-MAX(IFERROR(FIND({"省","市","区","县"},A593),0))-1+2)</f>
        <v>海沧街道</v>
      </c>
      <c r="M593" s="4" t="str" cm="1">
        <f t="array" ref="M593">MID(A593,MAX(IFERROR(FIND({"省"},A593),0),IFERROR(FIND({"市"},A593),0),IFERROR(FIND({"区"},A593),0),IFERROR(FIND({"县"},A593),0))+1,FIND("街道",A593)-MAX(IFERROR(FIND({"省"},A593),0),IFERROR(FIND({"市"},A593),0),IFERROR(FIND({"区"},A593),0),IFERROR(FIND({"县"},A593),0))-1+2)</f>
        <v>海沧街道</v>
      </c>
      <c r="O593" s="4" t="str" cm="1">
        <f t="array" ref="O593">_xlfn.LET(_xlpm.fullText,A593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93" s="4" t="str" cm="1">
        <f t="array" ref="Q593">_xlfn.LET(_xlpm.fullText,A593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4" spans="1:17">
      <c r="A594" s="3" t="s">
        <v>278</v>
      </c>
      <c r="K594" s="4" t="str" cm="1">
        <f t="array" ref="K594">MID(A594,MAX(IFERROR(FIND({"省","市","区","县"},A594),0))+1,FIND("街道",A594)-MAX(IFERROR(FIND({"省","市","区","县"},A594),0))-1+2)</f>
        <v>莲前街道</v>
      </c>
      <c r="M594" s="4" t="str" cm="1">
        <f t="array" ref="M594">MID(A594,MAX(IFERROR(FIND({"省"},A594),0),IFERROR(FIND({"市"},A594),0),IFERROR(FIND({"区"},A594),0),IFERROR(FIND({"县"},A594),0))+1,FIND("街道",A594)-MAX(IFERROR(FIND({"省"},A594),0),IFERROR(FIND({"市"},A594),0),IFERROR(FIND({"区"},A594),0),IFERROR(FIND({"县"},A594),0))-1+2)</f>
        <v>莲前街道</v>
      </c>
      <c r="O594" s="4" t="str" cm="1">
        <f t="array" ref="O594">_xlfn.LET(_xlpm.fullText,A594,_xlpm.streetPos,FIND("街道",_xlpm.fullText)+2,_xlpm.prefixText,LEFT(_xlpm.fullText,_xlpm.streetPos-1),_xlpm.adminPos,MAX(IFERROR(FIND({"省","市","区","县"},_xlpm.prefixText),0)),IF(_xlpm.adminPos&gt;0,MID(_xlpm.prefixText,_xlpm.adminPos+1,_xlpm.streetPos-_xlpm.adminPos-3+2),LEFT(_xlpm.prefixText,FIND("街道",_xlpm.prefixText)-1+2)))</f>
        <v>莲前街道</v>
      </c>
      <c r="Q594" s="4" t="str" cm="1">
        <f t="array" ref="Q594">_xlfn.LET(_xlpm.fullText,A594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莲前街道</v>
      </c>
    </row>
    <row r="595" spans="1:17">
      <c r="A595" s="3" t="s">
        <v>279</v>
      </c>
      <c r="K595" s="4" t="str" cm="1">
        <f t="array" ref="K595">MID(A595,MAX(IFERROR(FIND({"省","市","区","县"},A595),0))+1,FIND("街道",A595)-MAX(IFERROR(FIND({"省","市","区","县"},A595),0))-1+2)</f>
        <v>海沧街道</v>
      </c>
      <c r="M595" s="4" t="str" cm="1">
        <f t="array" ref="M595">MID(A595,MAX(IFERROR(FIND({"省"},A595),0),IFERROR(FIND({"市"},A595),0),IFERROR(FIND({"区"},A595),0),IFERROR(FIND({"县"},A595),0))+1,FIND("街道",A595)-MAX(IFERROR(FIND({"省"},A595),0),IFERROR(FIND({"市"},A595),0),IFERROR(FIND({"区"},A595),0),IFERROR(FIND({"县"},A595),0))-1+2)</f>
        <v>海沧街道</v>
      </c>
      <c r="O595" s="4" t="str" cm="1">
        <f t="array" ref="O595">_xlfn.LET(_xlpm.fullText,A595,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95" s="4" t="str" cm="1">
        <f t="array" ref="Q595">_xlfn.LET(_xlpm.fullText,A595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6" spans="1:17">
      <c r="A596" s="3" t="s">
        <v>280</v>
      </c>
      <c r="K596" s="4" t="str" cm="1">
        <f t="array" ref="K596">MID(A596,MAX(IFERROR(FIND({"省","市","区","县"},A596),0))+1,FIND("街道",A596)-MAX(IFERROR(FIND({"省","市","区","县"},A596),0))-1+2)</f>
        <v>筼筜街道</v>
      </c>
      <c r="M596" s="4" t="str" cm="1">
        <f t="array" ref="M596">MID(A596,MAX(IFERROR(FIND({"省"},A596),0),IFERROR(FIND({"市"},A596),0),IFERROR(FIND({"区"},A596),0),IFERROR(FIND({"县"},A596),0))+1,FIND("街道",A596)-MAX(IFERROR(FIND({"省"},A596),0),IFERROR(FIND({"市"},A596),0),IFERROR(FIND({"区"},A596),0),IFERROR(FIND({"县"},A596),0))-1+2)</f>
        <v>筼筜街道</v>
      </c>
      <c r="O596" s="4" t="str" cm="1">
        <f t="array" ref="O596">_xlfn.LET(_xlpm.fullText,A596,_xlpm.streetPos,FIND("街道",_xlpm.fullText)+2,_xlpm.prefixText,LEFT(_xlpm.fullText,_xlpm.streetPos-1),_xlpm.adminPos,MAX(IFERROR(FIND({"省","市","区","县"},_xlpm.prefixText),0)),IF(_xlpm.adminPos&gt;0,MID(_xlpm.prefixText,_xlpm.adminPos+1,_xlpm.streetPos-_xlpm.adminPos-3+2),LEFT(_xlpm.prefixText,FIND("街道",_xlpm.prefixText)-1+2)))</f>
        <v>筼筜街道</v>
      </c>
      <c r="Q596" s="4" t="str" cm="1">
        <f t="array" ref="Q596">_xlfn.LET(_xlpm.fullText,A596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筼筜街道</v>
      </c>
    </row>
    <row r="597" spans="1:17">
      <c r="A597" s="3" t="s">
        <v>195</v>
      </c>
      <c r="K597" s="4" t="str" cm="1">
        <f t="array" ref="K597">MID(A597,MAX(IFERROR(FIND({"省","市","区","县"},A597),0))+1,FIND("街道",A597)-MAX(IFERROR(FIND({"省","市","区","县"},A597),0))-1+2)</f>
        <v>海沧街道</v>
      </c>
      <c r="M597" s="4" t="str" cm="1">
        <f t="array" ref="M597">MID(A597,MAX(IFERROR(FIND({"省"},A597),0),IFERROR(FIND({"市"},A597),0),IFERROR(FIND({"区"},A597),0),IFERROR(FIND({"县"},A597),0))+1,FIND("街道",A597)-MAX(IFERROR(FIND({"省"},A597),0),IFERROR(FIND({"市"},A597),0),IFERROR(FIND({"区"},A597),0),IFERROR(FIND({"县"},A597),0))-1+2)</f>
        <v>海沧街道</v>
      </c>
      <c r="O597" s="4" t="str" cm="1">
        <f t="array" ref="O597">_xlfn.LET(_xlpm.fullText,A597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97" s="4" t="str" cm="1">
        <f t="array" ref="Q597">_xlfn.LET(_xlpm.fullText,A597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8" spans="1:17">
      <c r="A598" s="3" t="s">
        <v>281</v>
      </c>
      <c r="K598" s="4" t="str" cm="1">
        <f t="array" ref="K598">MID(A598,MAX(IFERROR(FIND({"省","市","区","县"},A598),0))+1,FIND("街道",A598)-MAX(IFERROR(FIND({"省","市","区","县"},A598),0))-1+2)</f>
        <v>海沧街道</v>
      </c>
      <c r="M598" s="4" t="str" cm="1">
        <f t="array" ref="M598">MID(A598,MAX(IFERROR(FIND({"省"},A598),0),IFERROR(FIND({"市"},A598),0),IFERROR(FIND({"区"},A598),0),IFERROR(FIND({"县"},A598),0))+1,FIND("街道",A598)-MAX(IFERROR(FIND({"省"},A598),0),IFERROR(FIND({"市"},A598),0),IFERROR(FIND({"区"},A598),0),IFERROR(FIND({"县"},A598),0))-1+2)</f>
        <v>海沧街道</v>
      </c>
      <c r="O598" s="4" t="str" cm="1">
        <f t="array" ref="O598">_xlfn.LET(_xlpm.fullText,A598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598" s="4" t="str" cm="1">
        <f t="array" ref="Q598">_xlfn.LET(_xlpm.fullText,A598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599" spans="1:17">
      <c r="A599" s="3" t="s">
        <v>27</v>
      </c>
      <c r="K599" s="4" t="str" cm="1">
        <f t="array" ref="K599">MID(A599,MAX(IFERROR(FIND({"省","市","区","县"},A599),0))+1,FIND("街道",A599)-MAX(IFERROR(FIND({"省","市","区","县"},A599),0))-1+2)</f>
        <v>东海街道</v>
      </c>
      <c r="M599" s="4" t="str" cm="1">
        <f t="array" ref="M599">MID(A599,MAX(IFERROR(FIND({"省"},A599),0),IFERROR(FIND({"市"},A599),0),IFERROR(FIND({"区"},A599),0),IFERROR(FIND({"县"},A599),0))+1,FIND("街道",A599)-MAX(IFERROR(FIND({"省"},A599),0),IFERROR(FIND({"市"},A599),0),IFERROR(FIND({"区"},A599),0),IFERROR(FIND({"县"},A599),0))-1+2)</f>
        <v>东海街道</v>
      </c>
      <c r="O599" s="4" t="str" cm="1">
        <f t="array" ref="O599">_xlfn.LET(_xlpm.fullText,A599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599" s="4" t="str" cm="1">
        <f t="array" ref="Q599">_xlfn.LET(_xlpm.fullText,A599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00" spans="1:17">
      <c r="A600" s="3" t="s">
        <v>27</v>
      </c>
      <c r="K600" s="4" t="str" cm="1">
        <f t="array" ref="K600">MID(A600,MAX(IFERROR(FIND({"省","市","区","县"},A600),0))+1,FIND("街道",A600)-MAX(IFERROR(FIND({"省","市","区","县"},A600),0))-1+2)</f>
        <v>东海街道</v>
      </c>
      <c r="M600" s="4" t="str" cm="1">
        <f t="array" ref="M600">MID(A600,MAX(IFERROR(FIND({"省"},A600),0),IFERROR(FIND({"市"},A600),0),IFERROR(FIND({"区"},A600),0),IFERROR(FIND({"县"},A600),0))+1,FIND("街道",A600)-MAX(IFERROR(FIND({"省"},A600),0),IFERROR(FIND({"市"},A600),0),IFERROR(FIND({"区"},A600),0),IFERROR(FIND({"县"},A600),0))-1+2)</f>
        <v>东海街道</v>
      </c>
      <c r="O600" s="4" t="str" cm="1">
        <f t="array" ref="O600">_xlfn.LET(_xlpm.fullText,A600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00" s="4" t="str" cm="1">
        <f t="array" ref="Q600">_xlfn.LET(_xlpm.fullText,A600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01" spans="1:17">
      <c r="A601" s="3" t="s">
        <v>282</v>
      </c>
      <c r="K601" s="4" t="str" cm="1">
        <f t="array" ref="K601">MID(A601,MAX(IFERROR(FIND({"省","市","区","县"},A601),0))+1,FIND("街道",A601)-MAX(IFERROR(FIND({"省","市","区","县"},A601),0))-1+2)</f>
        <v>湖里街道</v>
      </c>
      <c r="M601" s="4" t="str" cm="1">
        <f t="array" ref="M601">MID(A601,MAX(IFERROR(FIND({"省"},A601),0),IFERROR(FIND({"市"},A601),0),IFERROR(FIND({"区"},A601),0),IFERROR(FIND({"县"},A601),0))+1,FIND("街道",A601)-MAX(IFERROR(FIND({"省"},A601),0),IFERROR(FIND({"市"},A601),0),IFERROR(FIND({"区"},A601),0),IFERROR(FIND({"县"},A601),0))-1+2)</f>
        <v>湖里街道</v>
      </c>
      <c r="O601" s="4" t="str" cm="1">
        <f t="array" ref="O601">_xlfn.LET(_xlpm.fullText,A601,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601" s="4" t="str" cm="1">
        <f t="array" ref="Q601">_xlfn.LET(_xlpm.fullText,A601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602" spans="1:17">
      <c r="A602" s="3" t="s">
        <v>283</v>
      </c>
      <c r="K602" s="4" t="str" cm="1">
        <f t="array" ref="K602">MID(A602,MAX(IFERROR(FIND({"省","市","区","县"},A602),0))+1,FIND("街道",A602)-MAX(IFERROR(FIND({"省","市","区","县"},A602),0))-1+2)</f>
        <v>丰泽街道</v>
      </c>
      <c r="M602" s="4" t="str" cm="1">
        <f t="array" ref="M602">MID(A602,MAX(IFERROR(FIND({"省"},A602),0),IFERROR(FIND({"市"},A602),0),IFERROR(FIND({"区"},A602),0),IFERROR(FIND({"县"},A602),0))+1,FIND("街道",A602)-MAX(IFERROR(FIND({"省"},A602),0),IFERROR(FIND({"市"},A602),0),IFERROR(FIND({"区"},A602),0),IFERROR(FIND({"县"},A602),0))-1+2)</f>
        <v>丰泽街道</v>
      </c>
      <c r="O602" s="4" t="str" cm="1">
        <f t="array" ref="O602">_xlfn.LET(_xlpm.fullText,A602,_xlpm.streetPos,FIND("街道",_xlpm.fullText)+2,_xlpm.prefixText,LEFT(_xlpm.fullText,_xlpm.streetPos-1),_xlpm.adminPos,MAX(IFERROR(FIND({"省","市","区","县"},_xlpm.prefixText),0)),IF(_xlpm.adminPos&gt;0,MID(_xlpm.prefixText,_xlpm.adminPos+1,_xlpm.streetPos-_xlpm.adminPos-3+2),LEFT(_xlpm.prefixText,FIND("街道",_xlpm.prefixText)-1+2)))</f>
        <v>丰泽街道</v>
      </c>
      <c r="Q602" s="4" t="str" cm="1">
        <f t="array" ref="Q602">_xlfn.LET(_xlpm.fullText,A602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丰泽街道</v>
      </c>
    </row>
    <row r="603" spans="1:17">
      <c r="A603" s="3" t="s">
        <v>195</v>
      </c>
      <c r="K603" s="4" t="str" cm="1">
        <f t="array" ref="K603">MID(A603,MAX(IFERROR(FIND({"省","市","区","县"},A603),0))+1,FIND("街道",A603)-MAX(IFERROR(FIND({"省","市","区","县"},A603),0))-1+2)</f>
        <v>海沧街道</v>
      </c>
      <c r="M603" s="4" t="str" cm="1">
        <f t="array" ref="M603">MID(A603,MAX(IFERROR(FIND({"省"},A603),0),IFERROR(FIND({"市"},A603),0),IFERROR(FIND({"区"},A603),0),IFERROR(FIND({"县"},A603),0))+1,FIND("街道",A603)-MAX(IFERROR(FIND({"省"},A603),0),IFERROR(FIND({"市"},A603),0),IFERROR(FIND({"区"},A603),0),IFERROR(FIND({"县"},A603),0))-1+2)</f>
        <v>海沧街道</v>
      </c>
      <c r="O603" s="4" t="str" cm="1">
        <f t="array" ref="O603">_xlfn.LET(_xlpm.fullText,A603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03" s="4" t="str" cm="1">
        <f t="array" ref="Q603">_xlfn.LET(_xlpm.fullText,A603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04" spans="1:17">
      <c r="A604" s="3" t="s">
        <v>284</v>
      </c>
      <c r="K604" s="4" t="str" cm="1">
        <f t="array" ref="K604">MID(A604,MAX(IFERROR(FIND({"省","市","区","县"},A604),0))+1,FIND("街道",A604)-MAX(IFERROR(FIND({"省","市","区","县"},A604),0))-1+2)</f>
        <v>海沧街道</v>
      </c>
      <c r="M604" s="4" t="str" cm="1">
        <f t="array" ref="M604">MID(A604,MAX(IFERROR(FIND({"省"},A604),0),IFERROR(FIND({"市"},A604),0),IFERROR(FIND({"区"},A604),0),IFERROR(FIND({"县"},A604),0))+1,FIND("街道",A604)-MAX(IFERROR(FIND({"省"},A604),0),IFERROR(FIND({"市"},A604),0),IFERROR(FIND({"区"},A604),0),IFERROR(FIND({"县"},A604),0))-1+2)</f>
        <v>海沧街道</v>
      </c>
      <c r="O604" s="4" t="str" cm="1">
        <f t="array" ref="O604">_xlfn.LET(_xlpm.fullText,A604,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04" s="4" t="str" cm="1">
        <f t="array" ref="Q604">_xlfn.LET(_xlpm.fullText,A604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05" spans="1:17">
      <c r="A605" s="3" t="s">
        <v>285</v>
      </c>
      <c r="K605" s="4" t="str" cm="1">
        <f t="array" ref="K605">MID(A605,MAX(IFERROR(FIND({"省","市","区","县"},A605),0))+1,FIND("街道",A605)-MAX(IFERROR(FIND({"省","市","区","县"},A605),0))-1+2)</f>
        <v>崇屿街道</v>
      </c>
      <c r="M605" s="4" t="str" cm="1">
        <f t="array" ref="M605">MID(A605,MAX(IFERROR(FIND({"省"},A605),0),IFERROR(FIND({"市"},A605),0),IFERROR(FIND({"区"},A605),0),IFERROR(FIND({"县"},A605),0))+1,FIND("街道",A605)-MAX(IFERROR(FIND({"省"},A605),0),IFERROR(FIND({"市"},A605),0),IFERROR(FIND({"区"},A605),0),IFERROR(FIND({"县"},A605),0))-1+2)</f>
        <v>崇屿街道</v>
      </c>
      <c r="O605" s="4" t="str" cm="1">
        <f t="array" ref="O605">_xlfn.LET(_xlpm.fullText,A605,_xlpm.streetPos,FIND("街道",_xlpm.fullText)+2,_xlpm.prefixText,LEFT(_xlpm.fullText,_xlpm.streetPos-1),_xlpm.adminPos,MAX(IFERROR(FIND({"省","市","区","县"},_xlpm.prefixText),0)),IF(_xlpm.adminPos&gt;0,MID(_xlpm.prefixText,_xlpm.adminPos+1,_xlpm.streetPos-_xlpm.adminPos-3+2),LEFT(_xlpm.prefixText,FIND("街道",_xlpm.prefixText)-1+2)))</f>
        <v>崇屿街道</v>
      </c>
      <c r="Q605" s="4" t="str" cm="1">
        <f t="array" ref="Q605">_xlfn.LET(_xlpm.fullText,A605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崇屿街道</v>
      </c>
    </row>
    <row r="606" ht="28.8" spans="1:17">
      <c r="A606" s="3" t="s">
        <v>111</v>
      </c>
      <c r="K606" s="4" t="str" cm="1">
        <f t="array" ref="K606">MID(A606,MAX(IFERROR(FIND({"省","市","区","县"},A606),0))+1,FIND("街道",A606)-MAX(IFERROR(FIND({"省","市","区","县"},A606),0))-1+2)</f>
        <v>金山桥街道</v>
      </c>
      <c r="M606" s="4" t="str" cm="1">
        <f t="array" ref="M606">MID(A606,MAX(IFERROR(FIND({"省"},A606),0),IFERROR(FIND({"市"},A606),0),IFERROR(FIND({"区"},A606),0),IFERROR(FIND({"县"},A606),0))+1,FIND("街道",A606)-MAX(IFERROR(FIND({"省"},A606),0),IFERROR(FIND({"市"},A606),0),IFERROR(FIND({"区"},A606),0),IFERROR(FIND({"县"},A606),0))-1+2)</f>
        <v>金山桥街道</v>
      </c>
      <c r="O606" s="4" t="str" cm="1">
        <f t="array" ref="O606">_xlfn.LET(_xlpm.fullText,A606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606" s="4" t="str" cm="1">
        <f t="array" ref="Q606">_xlfn.LET(_xlpm.fullText,A606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607" spans="1:17">
      <c r="A607" s="3" t="s">
        <v>286</v>
      </c>
      <c r="K607" s="4" t="str" cm="1">
        <f t="array" ref="K607">MID(A607,MAX(IFERROR(FIND({"省","市","区","县"},A607),0))+1,FIND("街道",A607)-MAX(IFERROR(FIND({"省","市","区","县"},A607),0))-1+2)</f>
        <v>海沧街道</v>
      </c>
      <c r="M607" s="4" t="str" cm="1">
        <f t="array" ref="M607">MID(A607,MAX(IFERROR(FIND({"省"},A607),0),IFERROR(FIND({"市"},A607),0),IFERROR(FIND({"区"},A607),0),IFERROR(FIND({"县"},A607),0))+1,FIND("街道",A607)-MAX(IFERROR(FIND({"省"},A607),0),IFERROR(FIND({"市"},A607),0),IFERROR(FIND({"区"},A607),0),IFERROR(FIND({"县"},A607),0))-1+2)</f>
        <v>海沧街道</v>
      </c>
      <c r="O607" s="4" t="str" cm="1">
        <f t="array" ref="O607">_xlfn.LET(_xlpm.fullText,A607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07" s="4" t="str" cm="1">
        <f t="array" ref="Q607">_xlfn.LET(_xlpm.fullText,A607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08" spans="1:17">
      <c r="A608" s="3" t="s">
        <v>287</v>
      </c>
      <c r="K608" s="4" t="str" cm="1">
        <f t="array" ref="K608">MID(A608,MAX(IFERROR(FIND({"省","市","区","县"},A608),0))+1,FIND("街道",A608)-MAX(IFERROR(FIND({"省","市","区","县"},A608),0))-1+2)</f>
        <v>海沧街道</v>
      </c>
      <c r="M608" s="4" t="str" cm="1">
        <f t="array" ref="M608">MID(A608,MAX(IFERROR(FIND({"省"},A608),0),IFERROR(FIND({"市"},A608),0),IFERROR(FIND({"区"},A608),0),IFERROR(FIND({"县"},A608),0))+1,FIND("街道",A608)-MAX(IFERROR(FIND({"省"},A608),0),IFERROR(FIND({"市"},A608),0),IFERROR(FIND({"区"},A608),0),IFERROR(FIND({"县"},A608),0))-1+2)</f>
        <v>海沧街道</v>
      </c>
      <c r="O608" s="4" t="str" cm="1">
        <f t="array" ref="O608">_xlfn.LET(_xlpm.fullText,A608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08" s="4" t="str" cm="1">
        <f t="array" ref="Q608">_xlfn.LET(_xlpm.fullText,A608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09" spans="1:17">
      <c r="A609" s="3" t="s">
        <v>27</v>
      </c>
      <c r="K609" s="4" t="str" cm="1">
        <f t="array" ref="K609">MID(A609,MAX(IFERROR(FIND({"省","市","区","县"},A609),0))+1,FIND("街道",A609)-MAX(IFERROR(FIND({"省","市","区","县"},A609),0))-1+2)</f>
        <v>东海街道</v>
      </c>
      <c r="M609" s="4" t="str" cm="1">
        <f t="array" ref="M609">MID(A609,MAX(IFERROR(FIND({"省"},A609),0),IFERROR(FIND({"市"},A609),0),IFERROR(FIND({"区"},A609),0),IFERROR(FIND({"县"},A609),0))+1,FIND("街道",A609)-MAX(IFERROR(FIND({"省"},A609),0),IFERROR(FIND({"市"},A609),0),IFERROR(FIND({"区"},A609),0),IFERROR(FIND({"县"},A609),0))-1+2)</f>
        <v>东海街道</v>
      </c>
      <c r="O609" s="4" t="str" cm="1">
        <f t="array" ref="O609">_xlfn.LET(_xlpm.fullText,A609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09" s="4" t="str" cm="1">
        <f t="array" ref="Q609">_xlfn.LET(_xlpm.fullText,A609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10" ht="28.8" spans="1:17">
      <c r="A610" s="3" t="s">
        <v>288</v>
      </c>
      <c r="K610" s="4" t="str" cm="1">
        <f t="array" ref="K610">MID(A610,MAX(IFERROR(FIND({"省","市","区","县"},A610),0))+1,FIND("街道",A610)-MAX(IFERROR(FIND({"省","市","区","县"},A610),0))-1+2)</f>
        <v>东亭湖街道</v>
      </c>
      <c r="M610" s="4" t="str" cm="1">
        <f t="array" ref="M610">MID(A610,MAX(IFERROR(FIND({"省"},A610),0),IFERROR(FIND({"市"},A610),0),IFERROR(FIND({"区"},A610),0),IFERROR(FIND({"县"},A610),0))+1,FIND("街道",A610)-MAX(IFERROR(FIND({"省"},A610),0),IFERROR(FIND({"市"},A610),0),IFERROR(FIND({"区"},A610),0),IFERROR(FIND({"县"},A610),0))-1+2)</f>
        <v>东亭湖街道</v>
      </c>
      <c r="O610" s="4" t="str" cm="1">
        <f t="array" ref="O610">_xlfn.LET(_xlpm.fullText,A610,_xlpm.streetPos,FIND("街道",_xlpm.fullText)+2,_xlpm.prefixText,LEFT(_xlpm.fullText,_xlpm.streetPos-1),_xlpm.adminPos,MAX(IFERROR(FIND({"省","市","区","县"},_xlpm.prefixText),0)),IF(_xlpm.adminPos&gt;0,MID(_xlpm.prefixText,_xlpm.adminPos+1,_xlpm.streetPos-_xlpm.adminPos-3+2),LEFT(_xlpm.prefixText,FIND("街道",_xlpm.prefixText)-1+2)))</f>
        <v>东亭湖街道</v>
      </c>
      <c r="Q610" s="4" t="str" cm="1">
        <f t="array" ref="Q610">_xlfn.LET(_xlpm.fullText,A610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东亭湖街道</v>
      </c>
    </row>
    <row r="611" ht="28.8" spans="1:17">
      <c r="A611" s="3" t="s">
        <v>289</v>
      </c>
      <c r="K611" s="4" t="str" cm="1">
        <f t="array" ref="K611">MID(A611,MAX(IFERROR(FIND({"省","市","区","县"},A611),0))+1,FIND("街道",A611)-MAX(IFERROR(FIND({"省","市","区","县"},A611),0))-1+2)</f>
        <v>东亭湖街道</v>
      </c>
      <c r="M611" s="4" t="str" cm="1">
        <f t="array" ref="M611">MID(A611,MAX(IFERROR(FIND({"省"},A611),0),IFERROR(FIND({"市"},A611),0),IFERROR(FIND({"区"},A611),0),IFERROR(FIND({"县"},A611),0))+1,FIND("街道",A611)-MAX(IFERROR(FIND({"省"},A611),0),IFERROR(FIND({"市"},A611),0),IFERROR(FIND({"区"},A611),0),IFERROR(FIND({"县"},A611),0))-1+2)</f>
        <v>东亭湖街道</v>
      </c>
      <c r="O611" s="4" t="str" cm="1">
        <f t="array" ref="O611">_xlfn.LET(_xlpm.fullText,A611,_xlpm.streetPos,FIND("街道",_xlpm.fullText)+2,_xlpm.prefixText,LEFT(_xlpm.fullText,_xlpm.streetPos-1),_xlpm.adminPos,MAX(IFERROR(FIND({"省","市","区","县"},_xlpm.prefixText),0)),IF(_xlpm.adminPos&gt;0,MID(_xlpm.prefixText,_xlpm.adminPos+1,_xlpm.streetPos-_xlpm.adminPos-3+2),LEFT(_xlpm.prefixText,FIND("街道",_xlpm.prefixText)-1+2)))</f>
        <v>东亭湖街道</v>
      </c>
      <c r="Q611" s="4" t="str" cm="1">
        <f t="array" ref="Q611">_xlfn.LET(_xlpm.fullText,A611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东亭湖街道</v>
      </c>
    </row>
    <row r="612" spans="1:17">
      <c r="A612" s="3" t="s">
        <v>27</v>
      </c>
      <c r="K612" s="4" t="str" cm="1">
        <f t="array" ref="K612">MID(A612,MAX(IFERROR(FIND({"省","市","区","县"},A612),0))+1,FIND("街道",A612)-MAX(IFERROR(FIND({"省","市","区","县"},A612),0))-1+2)</f>
        <v>东海街道</v>
      </c>
      <c r="M612" s="4" t="str" cm="1">
        <f t="array" ref="M612">MID(A612,MAX(IFERROR(FIND({"省"},A612),0),IFERROR(FIND({"市"},A612),0),IFERROR(FIND({"区"},A612),0),IFERROR(FIND({"县"},A612),0))+1,FIND("街道",A612)-MAX(IFERROR(FIND({"省"},A612),0),IFERROR(FIND({"市"},A612),0),IFERROR(FIND({"区"},A612),0),IFERROR(FIND({"县"},A612),0))-1+2)</f>
        <v>东海街道</v>
      </c>
      <c r="O612" s="4" t="str" cm="1">
        <f t="array" ref="O612">_xlfn.LET(_xlpm.fullText,A612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12" s="4" t="str" cm="1">
        <f t="array" ref="Q612">_xlfn.LET(_xlpm.fullText,A612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13" spans="1:17">
      <c r="A613" s="3" t="s">
        <v>74</v>
      </c>
      <c r="K613" s="4" t="str" cm="1">
        <f t="array" ref="K613">MID(A613,MAX(IFERROR(FIND({"省","市","区","县"},A613),0))+1,FIND("街道",A613)-MAX(IFERROR(FIND({"省","市","区","县"},A613),0))-1+2)</f>
        <v>湖里街道</v>
      </c>
      <c r="M613" s="4" t="str" cm="1">
        <f t="array" ref="M613">MID(A613,MAX(IFERROR(FIND({"省"},A613),0),IFERROR(FIND({"市"},A613),0),IFERROR(FIND({"区"},A613),0),IFERROR(FIND({"县"},A613),0))+1,FIND("街道",A613)-MAX(IFERROR(FIND({"省"},A613),0),IFERROR(FIND({"市"},A613),0),IFERROR(FIND({"区"},A613),0),IFERROR(FIND({"县"},A613),0))-1+2)</f>
        <v>湖里街道</v>
      </c>
      <c r="O613" s="4" t="str" cm="1">
        <f t="array" ref="O613">_xlfn.LET(_xlpm.fullText,A613,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613" s="4" t="str" cm="1">
        <f t="array" ref="Q613">_xlfn.LET(_xlpm.fullText,A613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614" spans="1:17">
      <c r="A614" s="3" t="s">
        <v>27</v>
      </c>
      <c r="K614" s="4" t="str" cm="1">
        <f t="array" ref="K614">MID(A614,MAX(IFERROR(FIND({"省","市","区","县"},A614),0))+1,FIND("街道",A614)-MAX(IFERROR(FIND({"省","市","区","县"},A614),0))-1+2)</f>
        <v>东海街道</v>
      </c>
      <c r="M614" s="4" t="str" cm="1">
        <f t="array" ref="M614">MID(A614,MAX(IFERROR(FIND({"省"},A614),0),IFERROR(FIND({"市"},A614),0),IFERROR(FIND({"区"},A614),0),IFERROR(FIND({"县"},A614),0))+1,FIND("街道",A614)-MAX(IFERROR(FIND({"省"},A614),0),IFERROR(FIND({"市"},A614),0),IFERROR(FIND({"区"},A614),0),IFERROR(FIND({"县"},A614),0))-1+2)</f>
        <v>东海街道</v>
      </c>
      <c r="O614" s="4" t="str" cm="1">
        <f t="array" ref="O614">_xlfn.LET(_xlpm.fullText,A614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14" s="4" t="str" cm="1">
        <f t="array" ref="Q614">_xlfn.LET(_xlpm.fullText,A614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15" spans="1:17">
      <c r="A615" s="3" t="s">
        <v>54</v>
      </c>
      <c r="K615" s="4" t="str" cm="1">
        <f t="array" ref="K615">MID(A615,MAX(IFERROR(FIND({"省","市","区","县"},A615),0))+1,FIND("街道",A615)-MAX(IFERROR(FIND({"省","市","区","县"},A615),0))-1+2)</f>
        <v>东海街道</v>
      </c>
      <c r="M615" s="4" t="str" cm="1">
        <f t="array" ref="M615">MID(A615,MAX(IFERROR(FIND({"省"},A615),0),IFERROR(FIND({"市"},A615),0),IFERROR(FIND({"区"},A615),0),IFERROR(FIND({"县"},A615),0))+1,FIND("街道",A615)-MAX(IFERROR(FIND({"省"},A615),0),IFERROR(FIND({"市"},A615),0),IFERROR(FIND({"区"},A615),0),IFERROR(FIND({"县"},A615),0))-1+2)</f>
        <v>东海街道</v>
      </c>
      <c r="O615" s="4" t="str" cm="1">
        <f t="array" ref="O615">_xlfn.LET(_xlpm.fullText,A615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15" s="4" t="str" cm="1">
        <f t="array" ref="Q615">_xlfn.LET(_xlpm.fullText,A615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16" spans="1:17">
      <c r="A616" s="3" t="s">
        <v>290</v>
      </c>
      <c r="K616" s="4" t="str" cm="1">
        <f t="array" ref="K616">MID(A616,MAX(IFERROR(FIND({"省","市","区","县"},A616),0))+1,FIND("街道",A616)-MAX(IFERROR(FIND({"省","市","区","县"},A616),0))-1+2)</f>
        <v>海沧街道</v>
      </c>
      <c r="M616" s="4" t="str" cm="1">
        <f t="array" ref="M616">MID(A616,MAX(IFERROR(FIND({"省"},A616),0),IFERROR(FIND({"市"},A616),0),IFERROR(FIND({"区"},A616),0),IFERROR(FIND({"县"},A616),0))+1,FIND("街道",A616)-MAX(IFERROR(FIND({"省"},A616),0),IFERROR(FIND({"市"},A616),0),IFERROR(FIND({"区"},A616),0),IFERROR(FIND({"县"},A616),0))-1+2)</f>
        <v>海沧街道</v>
      </c>
      <c r="O616" s="4" t="str" cm="1">
        <f t="array" ref="O616">_xlfn.LET(_xlpm.fullText,A616,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16" s="4" t="str" cm="1">
        <f t="array" ref="Q616">_xlfn.LET(_xlpm.fullText,A616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17" spans="1:17">
      <c r="A617" s="3" t="s">
        <v>290</v>
      </c>
      <c r="K617" s="4" t="str" cm="1">
        <f t="array" ref="K617">MID(A617,MAX(IFERROR(FIND({"省","市","区","县"},A617),0))+1,FIND("街道",A617)-MAX(IFERROR(FIND({"省","市","区","县"},A617),0))-1+2)</f>
        <v>海沧街道</v>
      </c>
      <c r="M617" s="4" t="str" cm="1">
        <f t="array" ref="M617">MID(A617,MAX(IFERROR(FIND({"省"},A617),0),IFERROR(FIND({"市"},A617),0),IFERROR(FIND({"区"},A617),0),IFERROR(FIND({"县"},A617),0))+1,FIND("街道",A617)-MAX(IFERROR(FIND({"省"},A617),0),IFERROR(FIND({"市"},A617),0),IFERROR(FIND({"区"},A617),0),IFERROR(FIND({"县"},A617),0))-1+2)</f>
        <v>海沧街道</v>
      </c>
      <c r="O617" s="4" t="str" cm="1">
        <f t="array" ref="O617">_xlfn.LET(_xlpm.fullText,A617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17" s="4" t="str" cm="1">
        <f t="array" ref="Q617">_xlfn.LET(_xlpm.fullText,A617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18" spans="1:17">
      <c r="A618" s="3" t="s">
        <v>290</v>
      </c>
      <c r="K618" s="4" t="str" cm="1">
        <f t="array" ref="K618">MID(A618,MAX(IFERROR(FIND({"省","市","区","县"},A618),0))+1,FIND("街道",A618)-MAX(IFERROR(FIND({"省","市","区","县"},A618),0))-1+2)</f>
        <v>海沧街道</v>
      </c>
      <c r="M618" s="4" t="str" cm="1">
        <f t="array" ref="M618">MID(A618,MAX(IFERROR(FIND({"省"},A618),0),IFERROR(FIND({"市"},A618),0),IFERROR(FIND({"区"},A618),0),IFERROR(FIND({"县"},A618),0))+1,FIND("街道",A618)-MAX(IFERROR(FIND({"省"},A618),0),IFERROR(FIND({"市"},A618),0),IFERROR(FIND({"区"},A618),0),IFERROR(FIND({"县"},A618),0))-1+2)</f>
        <v>海沧街道</v>
      </c>
      <c r="O618" s="4" t="str" cm="1">
        <f t="array" ref="O618">_xlfn.LET(_xlpm.fullText,A618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18" s="4" t="str" cm="1">
        <f t="array" ref="Q618">_xlfn.LET(_xlpm.fullText,A618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19" spans="1:17">
      <c r="A619" s="3" t="s">
        <v>290</v>
      </c>
      <c r="K619" s="4" t="str" cm="1">
        <f t="array" ref="K619">MID(A619,MAX(IFERROR(FIND({"省","市","区","县"},A619),0))+1,FIND("街道",A619)-MAX(IFERROR(FIND({"省","市","区","县"},A619),0))-1+2)</f>
        <v>海沧街道</v>
      </c>
      <c r="M619" s="4" t="str" cm="1">
        <f t="array" ref="M619">MID(A619,MAX(IFERROR(FIND({"省"},A619),0),IFERROR(FIND({"市"},A619),0),IFERROR(FIND({"区"},A619),0),IFERROR(FIND({"县"},A619),0))+1,FIND("街道",A619)-MAX(IFERROR(FIND({"省"},A619),0),IFERROR(FIND({"市"},A619),0),IFERROR(FIND({"区"},A619),0),IFERROR(FIND({"县"},A619),0))-1+2)</f>
        <v>海沧街道</v>
      </c>
      <c r="O619" s="4" t="str" cm="1">
        <f t="array" ref="O619">_xlfn.LET(_xlpm.fullText,A619,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19" s="4" t="str" cm="1">
        <f t="array" ref="Q619">_xlfn.LET(_xlpm.fullText,A619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20" spans="1:17">
      <c r="A620" s="3" t="s">
        <v>291</v>
      </c>
      <c r="K620" s="4" t="str" cm="1">
        <f t="array" ref="K620">MID(A620,MAX(IFERROR(FIND({"省","市","区","县"},A620),0))+1,FIND("街道",A620)-MAX(IFERROR(FIND({"省","市","区","县"},A620),0))-1+2)</f>
        <v>筼筜街道</v>
      </c>
      <c r="M620" s="4" t="str" cm="1">
        <f t="array" ref="M620">MID(A620,MAX(IFERROR(FIND({"省"},A620),0),IFERROR(FIND({"市"},A620),0),IFERROR(FIND({"区"},A620),0),IFERROR(FIND({"县"},A620),0))+1,FIND("街道",A620)-MAX(IFERROR(FIND({"省"},A620),0),IFERROR(FIND({"市"},A620),0),IFERROR(FIND({"区"},A620),0),IFERROR(FIND({"县"},A620),0))-1+2)</f>
        <v>筼筜街道</v>
      </c>
      <c r="O620" s="4" t="str" cm="1">
        <f t="array" ref="O620">_xlfn.LET(_xlpm.fullText,A620,_xlpm.streetPos,FIND("街道",_xlpm.fullText)+2,_xlpm.prefixText,LEFT(_xlpm.fullText,_xlpm.streetPos-1),_xlpm.adminPos,MAX(IFERROR(FIND({"省","市","区","县"},_xlpm.prefixText),0)),IF(_xlpm.adminPos&gt;0,MID(_xlpm.prefixText,_xlpm.adminPos+1,_xlpm.streetPos-_xlpm.adminPos-3+2),LEFT(_xlpm.prefixText,FIND("街道",_xlpm.prefixText)-1+2)))</f>
        <v>筼筜街道</v>
      </c>
      <c r="Q620" s="4" t="str" cm="1">
        <f t="array" ref="Q620">_xlfn.LET(_xlpm.fullText,A620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筼筜街道</v>
      </c>
    </row>
    <row r="621" spans="1:17">
      <c r="A621" s="3" t="s">
        <v>27</v>
      </c>
      <c r="K621" s="4" t="str" cm="1">
        <f t="array" ref="K621">MID(A621,MAX(IFERROR(FIND({"省","市","区","县"},A621),0))+1,FIND("街道",A621)-MAX(IFERROR(FIND({"省","市","区","县"},A621),0))-1+2)</f>
        <v>东海街道</v>
      </c>
      <c r="M621" s="4" t="str" cm="1">
        <f t="array" ref="M621">MID(A621,MAX(IFERROR(FIND({"省"},A621),0),IFERROR(FIND({"市"},A621),0),IFERROR(FIND({"区"},A621),0),IFERROR(FIND({"县"},A621),0))+1,FIND("街道",A621)-MAX(IFERROR(FIND({"省"},A621),0),IFERROR(FIND({"市"},A621),0),IFERROR(FIND({"区"},A621),0),IFERROR(FIND({"县"},A621),0))-1+2)</f>
        <v>东海街道</v>
      </c>
      <c r="O621" s="4" t="str" cm="1">
        <f t="array" ref="O621">_xlfn.LET(_xlpm.fullText,A621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1" s="4" t="str" cm="1">
        <f t="array" ref="Q621">_xlfn.LET(_xlpm.fullText,A621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2" spans="1:17">
      <c r="A622" s="3" t="s">
        <v>292</v>
      </c>
      <c r="K622" s="4" t="str" cm="1">
        <f t="array" ref="K622">MID(A622,MAX(IFERROR(FIND({"省","市","区","县"},A622),0))+1,FIND("街道",A622)-MAX(IFERROR(FIND({"省","市","区","县"},A622),0))-1+2)</f>
        <v>杏林街道</v>
      </c>
      <c r="M622" s="4" t="str" cm="1">
        <f t="array" ref="M622">MID(A622,MAX(IFERROR(FIND({"省"},A622),0),IFERROR(FIND({"市"},A622),0),IFERROR(FIND({"区"},A622),0),IFERROR(FIND({"县"},A622),0))+1,FIND("街道",A622)-MAX(IFERROR(FIND({"省"},A622),0),IFERROR(FIND({"市"},A622),0),IFERROR(FIND({"区"},A622),0),IFERROR(FIND({"县"},A622),0))-1+2)</f>
        <v>杏林街道</v>
      </c>
      <c r="O622" s="4" t="str" cm="1">
        <f t="array" ref="O622">_xlfn.LET(_xlpm.fullText,A622,_xlpm.streetPos,FIND("街道",_xlpm.fullText)+2,_xlpm.prefixText,LEFT(_xlpm.fullText,_xlpm.streetPos-1),_xlpm.adminPos,MAX(IFERROR(FIND({"省","市","区","县"},_xlpm.prefixText),0)),IF(_xlpm.adminPos&gt;0,MID(_xlpm.prefixText,_xlpm.adminPos+1,_xlpm.streetPos-_xlpm.adminPos-3+2),LEFT(_xlpm.prefixText,FIND("街道",_xlpm.prefixText)-1+2)))</f>
        <v>杏林街道</v>
      </c>
      <c r="Q622" s="4" t="str" cm="1">
        <f t="array" ref="Q622">_xlfn.LET(_xlpm.fullText,A622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杏林街道</v>
      </c>
    </row>
    <row r="623" spans="1:17">
      <c r="A623" s="3" t="s">
        <v>27</v>
      </c>
      <c r="K623" s="4" t="str" cm="1">
        <f t="array" ref="K623">MID(A623,MAX(IFERROR(FIND({"省","市","区","县"},A623),0))+1,FIND("街道",A623)-MAX(IFERROR(FIND({"省","市","区","县"},A623),0))-1+2)</f>
        <v>东海街道</v>
      </c>
      <c r="M623" s="4" t="str" cm="1">
        <f t="array" ref="M623">MID(A623,MAX(IFERROR(FIND({"省"},A623),0),IFERROR(FIND({"市"},A623),0),IFERROR(FIND({"区"},A623),0),IFERROR(FIND({"县"},A623),0))+1,FIND("街道",A623)-MAX(IFERROR(FIND({"省"},A623),0),IFERROR(FIND({"市"},A623),0),IFERROR(FIND({"区"},A623),0),IFERROR(FIND({"县"},A623),0))-1+2)</f>
        <v>东海街道</v>
      </c>
      <c r="O623" s="4" t="str" cm="1">
        <f t="array" ref="O623">_xlfn.LET(_xlpm.fullText,A623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3" s="4" t="str" cm="1">
        <f t="array" ref="Q623">_xlfn.LET(_xlpm.fullText,A623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4" spans="1:17">
      <c r="A624" s="3" t="s">
        <v>27</v>
      </c>
      <c r="K624" s="4" t="str" cm="1">
        <f t="array" ref="K624">MID(A624,MAX(IFERROR(FIND({"省","市","区","县"},A624),0))+1,FIND("街道",A624)-MAX(IFERROR(FIND({"省","市","区","县"},A624),0))-1+2)</f>
        <v>东海街道</v>
      </c>
      <c r="M624" s="4" t="str" cm="1">
        <f t="array" ref="M624">MID(A624,MAX(IFERROR(FIND({"省"},A624),0),IFERROR(FIND({"市"},A624),0),IFERROR(FIND({"区"},A624),0),IFERROR(FIND({"县"},A624),0))+1,FIND("街道",A624)-MAX(IFERROR(FIND({"省"},A624),0),IFERROR(FIND({"市"},A624),0),IFERROR(FIND({"区"},A624),0),IFERROR(FIND({"县"},A624),0))-1+2)</f>
        <v>东海街道</v>
      </c>
      <c r="O624" s="4" t="str" cm="1">
        <f t="array" ref="O624">_xlfn.LET(_xlpm.fullText,A624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4" s="4" t="str" cm="1">
        <f t="array" ref="Q624">_xlfn.LET(_xlpm.fullText,A624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5" spans="1:17">
      <c r="A625" s="3" t="s">
        <v>27</v>
      </c>
      <c r="K625" s="4" t="str" cm="1">
        <f t="array" ref="K625">MID(A625,MAX(IFERROR(FIND({"省","市","区","县"},A625),0))+1,FIND("街道",A625)-MAX(IFERROR(FIND({"省","市","区","县"},A625),0))-1+2)</f>
        <v>东海街道</v>
      </c>
      <c r="M625" s="4" t="str" cm="1">
        <f t="array" ref="M625">MID(A625,MAX(IFERROR(FIND({"省"},A625),0),IFERROR(FIND({"市"},A625),0),IFERROR(FIND({"区"},A625),0),IFERROR(FIND({"县"},A625),0))+1,FIND("街道",A625)-MAX(IFERROR(FIND({"省"},A625),0),IFERROR(FIND({"市"},A625),0),IFERROR(FIND({"区"},A625),0),IFERROR(FIND({"县"},A625),0))-1+2)</f>
        <v>东海街道</v>
      </c>
      <c r="O625" s="4" t="str" cm="1">
        <f t="array" ref="O625">_xlfn.LET(_xlpm.fullText,A625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5" s="4" t="str" cm="1">
        <f t="array" ref="Q625">_xlfn.LET(_xlpm.fullText,A625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6" spans="1:17">
      <c r="A626" s="3" t="s">
        <v>27</v>
      </c>
      <c r="K626" s="4" t="str" cm="1">
        <f t="array" ref="K626">MID(A626,MAX(IFERROR(FIND({"省","市","区","县"},A626),0))+1,FIND("街道",A626)-MAX(IFERROR(FIND({"省","市","区","县"},A626),0))-1+2)</f>
        <v>东海街道</v>
      </c>
      <c r="M626" s="4" t="str" cm="1">
        <f t="array" ref="M626">MID(A626,MAX(IFERROR(FIND({"省"},A626),0),IFERROR(FIND({"市"},A626),0),IFERROR(FIND({"区"},A626),0),IFERROR(FIND({"县"},A626),0))+1,FIND("街道",A626)-MAX(IFERROR(FIND({"省"},A626),0),IFERROR(FIND({"市"},A626),0),IFERROR(FIND({"区"},A626),0),IFERROR(FIND({"县"},A626),0))-1+2)</f>
        <v>东海街道</v>
      </c>
      <c r="O626" s="4" t="str" cm="1">
        <f t="array" ref="O626">_xlfn.LET(_xlpm.fullText,A626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6" s="4" t="str" cm="1">
        <f t="array" ref="Q626">_xlfn.LET(_xlpm.fullText,A626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7" spans="1:17">
      <c r="A627" s="3" t="s">
        <v>27</v>
      </c>
      <c r="K627" s="4" t="str" cm="1">
        <f t="array" ref="K627">MID(A627,MAX(IFERROR(FIND({"省","市","区","县"},A627),0))+1,FIND("街道",A627)-MAX(IFERROR(FIND({"省","市","区","县"},A627),0))-1+2)</f>
        <v>东海街道</v>
      </c>
      <c r="M627" s="4" t="str" cm="1">
        <f t="array" ref="M627">MID(A627,MAX(IFERROR(FIND({"省"},A627),0),IFERROR(FIND({"市"},A627),0),IFERROR(FIND({"区"},A627),0),IFERROR(FIND({"县"},A627),0))+1,FIND("街道",A627)-MAX(IFERROR(FIND({"省"},A627),0),IFERROR(FIND({"市"},A627),0),IFERROR(FIND({"区"},A627),0),IFERROR(FIND({"县"},A627),0))-1+2)</f>
        <v>东海街道</v>
      </c>
      <c r="O627" s="4" t="str" cm="1">
        <f t="array" ref="O627">_xlfn.LET(_xlpm.fullText,A627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7" s="4" t="str" cm="1">
        <f t="array" ref="Q627">_xlfn.LET(_xlpm.fullText,A627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8" spans="1:17">
      <c r="A628" s="3" t="s">
        <v>202</v>
      </c>
      <c r="K628" s="4" t="str" cm="1">
        <f t="array" ref="K628">MID(A628,MAX(IFERROR(FIND({"省","市","区","县"},A628),0))+1,FIND("街道",A628)-MAX(IFERROR(FIND({"省","市","区","县"},A628),0))-1+2)</f>
        <v>东海街道</v>
      </c>
      <c r="M628" s="4" t="str" cm="1">
        <f t="array" ref="M628">MID(A628,MAX(IFERROR(FIND({"省"},A628),0),IFERROR(FIND({"市"},A628),0),IFERROR(FIND({"区"},A628),0),IFERROR(FIND({"县"},A628),0))+1,FIND("街道",A628)-MAX(IFERROR(FIND({"省"},A628),0),IFERROR(FIND({"市"},A628),0),IFERROR(FIND({"区"},A628),0),IFERROR(FIND({"县"},A628),0))-1+2)</f>
        <v>东海街道</v>
      </c>
      <c r="O628" s="4" t="str" cm="1">
        <f t="array" ref="O628">_xlfn.LET(_xlpm.fullText,A628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28" s="4" t="str" cm="1">
        <f t="array" ref="Q628">_xlfn.LET(_xlpm.fullText,A628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29" spans="1:17">
      <c r="A629" s="3" t="s">
        <v>293</v>
      </c>
      <c r="K629" s="4" t="str" cm="1">
        <f t="array" ref="K629">MID(A629,MAX(IFERROR(FIND({"省","市","区","县"},A629),0))+1,FIND("街道",A629)-MAX(IFERROR(FIND({"省","市","区","县"},A629),0))-1+2)</f>
        <v>八坼街道</v>
      </c>
      <c r="M629" s="4" t="str" cm="1">
        <f t="array" ref="M629">MID(A629,MAX(IFERROR(FIND({"省"},A629),0),IFERROR(FIND({"市"},A629),0),IFERROR(FIND({"区"},A629),0),IFERROR(FIND({"县"},A629),0))+1,FIND("街道",A629)-MAX(IFERROR(FIND({"省"},A629),0),IFERROR(FIND({"市"},A629),0),IFERROR(FIND({"区"},A629),0),IFERROR(FIND({"县"},A629),0))-1+2)</f>
        <v>八坼街道</v>
      </c>
      <c r="O629" s="4" t="str" cm="1">
        <f t="array" ref="O629">_xlfn.LET(_xlpm.fullText,A629,_xlpm.streetPos,FIND("街道",_xlpm.fullText)+2,_xlpm.prefixText,LEFT(_xlpm.fullText,_xlpm.streetPos-1),_xlpm.adminPos,MAX(IFERROR(FIND({"省","市","区","县"},_xlpm.prefixText),0)),IF(_xlpm.adminPos&gt;0,MID(_xlpm.prefixText,_xlpm.adminPos+1,_xlpm.streetPos-_xlpm.adminPos-3+2),LEFT(_xlpm.prefixText,FIND("街道",_xlpm.prefixText)-1+2)))</f>
        <v>八坼街道</v>
      </c>
      <c r="Q629" s="4" t="str" cm="1">
        <f t="array" ref="Q629">_xlfn.LET(_xlpm.fullText,A629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八坼街道</v>
      </c>
    </row>
    <row r="630" ht="28.8" spans="1:17">
      <c r="A630" s="3" t="s">
        <v>294</v>
      </c>
      <c r="K630" s="4" t="str" cm="1">
        <f t="array" ref="K630">MID(A630,MAX(IFERROR(FIND({"省","市","区","县"},A630),0))+1,FIND("街道",A630)-MAX(IFERROR(FIND({"省","市","区","县"},A630),0))-1+2)</f>
        <v>东亭湖街道</v>
      </c>
      <c r="M630" s="4" t="str" cm="1">
        <f t="array" ref="M630">MID(A630,MAX(IFERROR(FIND({"省"},A630),0),IFERROR(FIND({"市"},A630),0),IFERROR(FIND({"区"},A630),0),IFERROR(FIND({"县"},A630),0))+1,FIND("街道",A630)-MAX(IFERROR(FIND({"省"},A630),0),IFERROR(FIND({"市"},A630),0),IFERROR(FIND({"区"},A630),0),IFERROR(FIND({"县"},A630),0))-1+2)</f>
        <v>东亭湖街道</v>
      </c>
      <c r="O630" s="4" t="str" cm="1">
        <f t="array" ref="O630">_xlfn.LET(_xlpm.fullText,A630,_xlpm.streetPos,FIND("街道",_xlpm.fullText)+2,_xlpm.prefixText,LEFT(_xlpm.fullText,_xlpm.streetPos-1),_xlpm.adminPos,MAX(IFERROR(FIND({"省","市","区","县"},_xlpm.prefixText),0)),IF(_xlpm.adminPos&gt;0,MID(_xlpm.prefixText,_xlpm.adminPos+1,_xlpm.streetPos-_xlpm.adminPos-3+2),LEFT(_xlpm.prefixText,FIND("街道",_xlpm.prefixText)-1+2)))</f>
        <v>东亭湖街道</v>
      </c>
      <c r="Q630" s="4" t="str" cm="1">
        <f t="array" ref="Q630">_xlfn.LET(_xlpm.fullText,A630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东亭湖街道</v>
      </c>
    </row>
    <row r="631" spans="1:17">
      <c r="A631" s="3" t="s">
        <v>295</v>
      </c>
      <c r="K631" s="4" t="str" cm="1">
        <f t="array" ref="K631">MID(A631,MAX(IFERROR(FIND({"省","市","区","县"},A631),0))+1,FIND("街道",A631)-MAX(IFERROR(FIND({"省","市","区","县"},A631),0))-1+2)</f>
        <v>秣陵街道</v>
      </c>
      <c r="M631" s="4" t="str" cm="1">
        <f t="array" ref="M631">MID(A631,MAX(IFERROR(FIND({"省"},A631),0),IFERROR(FIND({"市"},A631),0),IFERROR(FIND({"区"},A631),0),IFERROR(FIND({"县"},A631),0))+1,FIND("街道",A631)-MAX(IFERROR(FIND({"省"},A631),0),IFERROR(FIND({"市"},A631),0),IFERROR(FIND({"区"},A631),0),IFERROR(FIND({"县"},A631),0))-1+2)</f>
        <v>秣陵街道</v>
      </c>
      <c r="O631" s="4" t="str" cm="1">
        <f t="array" ref="O631">_xlfn.LET(_xlpm.fullText,A631,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631" s="4" t="str" cm="1">
        <f t="array" ref="Q631">_xlfn.LET(_xlpm.fullText,A631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632" spans="1:17">
      <c r="A632" s="3" t="s">
        <v>27</v>
      </c>
      <c r="K632" s="4" t="str" cm="1">
        <f t="array" ref="K632">MID(A632,MAX(IFERROR(FIND({"省","市","区","县"},A632),0))+1,FIND("街道",A632)-MAX(IFERROR(FIND({"省","市","区","县"},A632),0))-1+2)</f>
        <v>东海街道</v>
      </c>
      <c r="M632" s="4" t="str" cm="1">
        <f t="array" ref="M632">MID(A632,MAX(IFERROR(FIND({"省"},A632),0),IFERROR(FIND({"市"},A632),0),IFERROR(FIND({"区"},A632),0),IFERROR(FIND({"县"},A632),0))+1,FIND("街道",A632)-MAX(IFERROR(FIND({"省"},A632),0),IFERROR(FIND({"市"},A632),0),IFERROR(FIND({"区"},A632),0),IFERROR(FIND({"县"},A632),0))-1+2)</f>
        <v>东海街道</v>
      </c>
      <c r="O632" s="4" t="str" cm="1">
        <f t="array" ref="O632">_xlfn.LET(_xlpm.fullText,A632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32" s="4" t="str" cm="1">
        <f t="array" ref="Q632">_xlfn.LET(_xlpm.fullText,A632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33" spans="1:17">
      <c r="A633" s="3" t="s">
        <v>27</v>
      </c>
      <c r="K633" s="4" t="str" cm="1">
        <f t="array" ref="K633">MID(A633,MAX(IFERROR(FIND({"省","市","区","县"},A633),0))+1,FIND("街道",A633)-MAX(IFERROR(FIND({"省","市","区","县"},A633),0))-1+2)</f>
        <v>东海街道</v>
      </c>
      <c r="M633" s="4" t="str" cm="1">
        <f t="array" ref="M633">MID(A633,MAX(IFERROR(FIND({"省"},A633),0),IFERROR(FIND({"市"},A633),0),IFERROR(FIND({"区"},A633),0),IFERROR(FIND({"县"},A633),0))+1,FIND("街道",A633)-MAX(IFERROR(FIND({"省"},A633),0),IFERROR(FIND({"市"},A633),0),IFERROR(FIND({"区"},A633),0),IFERROR(FIND({"县"},A633),0))-1+2)</f>
        <v>东海街道</v>
      </c>
      <c r="O633" s="4" t="str" cm="1">
        <f t="array" ref="O633">_xlfn.LET(_xlpm.fullText,A633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33" s="4" t="str" cm="1">
        <f t="array" ref="Q633">_xlfn.LET(_xlpm.fullText,A633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34" spans="1:17">
      <c r="A634" s="3" t="s">
        <v>296</v>
      </c>
      <c r="K634" s="4" t="str" cm="1">
        <f t="array" ref="K634">MID(A634,MAX(IFERROR(FIND({"省","市","区","县"},A634),0))+1,FIND("街道",A634)-MAX(IFERROR(FIND({"省","市","区","县"},A634),0))-1+2)</f>
        <v>禾山街道</v>
      </c>
      <c r="M634" s="4" t="str" cm="1">
        <f t="array" ref="M634">MID(A634,MAX(IFERROR(FIND({"省"},A634),0),IFERROR(FIND({"市"},A634),0),IFERROR(FIND({"区"},A634),0),IFERROR(FIND({"县"},A634),0))+1,FIND("街道",A634)-MAX(IFERROR(FIND({"省"},A634),0),IFERROR(FIND({"市"},A634),0),IFERROR(FIND({"区"},A634),0),IFERROR(FIND({"县"},A634),0))-1+2)</f>
        <v>禾山街道</v>
      </c>
      <c r="O634" s="4" t="str" cm="1">
        <f t="array" ref="O634">_xlfn.LET(_xlpm.fullText,A634,_xlpm.streetPos,FIND("街道",_xlpm.fullText)+2,_xlpm.prefixText,LEFT(_xlpm.fullText,_xlpm.streetPos-1),_xlpm.adminPos,MAX(IFERROR(FIND({"省","市","区","县"},_xlpm.prefixText),0)),IF(_xlpm.adminPos&gt;0,MID(_xlpm.prefixText,_xlpm.adminPos+1,_xlpm.streetPos-_xlpm.adminPos-3+2),LEFT(_xlpm.prefixText,FIND("街道",_xlpm.prefixText)-1+2)))</f>
        <v>禾山街道</v>
      </c>
      <c r="Q634" s="4" t="str" cm="1">
        <f t="array" ref="Q634">_xlfn.LET(_xlpm.fullText,A634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禾山街道</v>
      </c>
    </row>
    <row r="635" spans="1:17">
      <c r="A635" s="3" t="s">
        <v>297</v>
      </c>
      <c r="K635" s="4" t="str" cm="1">
        <f t="array" ref="K635">MID(A635,MAX(IFERROR(FIND({"省","市","区","县"},A635),0))+1,FIND("街道",A635)-MAX(IFERROR(FIND({"省","市","区","县"},A635),0))-1+2)</f>
        <v>鹭江街道</v>
      </c>
      <c r="M635" s="4" t="str" cm="1">
        <f t="array" ref="M635">MID(A635,MAX(IFERROR(FIND({"省"},A635),0),IFERROR(FIND({"市"},A635),0),IFERROR(FIND({"区"},A635),0),IFERROR(FIND({"县"},A635),0))+1,FIND("街道",A635)-MAX(IFERROR(FIND({"省"},A635),0),IFERROR(FIND({"市"},A635),0),IFERROR(FIND({"区"},A635),0),IFERROR(FIND({"县"},A635),0))-1+2)</f>
        <v>鹭江街道</v>
      </c>
      <c r="O635" s="4" t="str" cm="1">
        <f t="array" ref="O635">_xlfn.LET(_xlpm.fullText,A635,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635" s="4" t="str" cm="1">
        <f t="array" ref="Q635">_xlfn.LET(_xlpm.fullText,A635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636" spans="1:17">
      <c r="A636" s="3" t="s">
        <v>27</v>
      </c>
      <c r="K636" s="4" t="str" cm="1">
        <f t="array" ref="K636">MID(A636,MAX(IFERROR(FIND({"省","市","区","县"},A636),0))+1,FIND("街道",A636)-MAX(IFERROR(FIND({"省","市","区","县"},A636),0))-1+2)</f>
        <v>东海街道</v>
      </c>
      <c r="M636" s="4" t="str" cm="1">
        <f t="array" ref="M636">MID(A636,MAX(IFERROR(FIND({"省"},A636),0),IFERROR(FIND({"市"},A636),0),IFERROR(FIND({"区"},A636),0),IFERROR(FIND({"县"},A636),0))+1,FIND("街道",A636)-MAX(IFERROR(FIND({"省"},A636),0),IFERROR(FIND({"市"},A636),0),IFERROR(FIND({"区"},A636),0),IFERROR(FIND({"县"},A636),0))-1+2)</f>
        <v>东海街道</v>
      </c>
      <c r="O636" s="4" t="str" cm="1">
        <f t="array" ref="O636">_xlfn.LET(_xlpm.fullText,A636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36" s="4" t="str" cm="1">
        <f t="array" ref="Q636">_xlfn.LET(_xlpm.fullText,A636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37" spans="1:17">
      <c r="A637" s="3" t="s">
        <v>298</v>
      </c>
      <c r="K637" s="4" t="str" cm="1">
        <f t="array" ref="K637">MID(A637,MAX(IFERROR(FIND({"省","市","区","县"},A637),0))+1,FIND("街道",A637)-MAX(IFERROR(FIND({"省","市","区","县"},A637),0))-1+2)</f>
        <v>鳌峰街道</v>
      </c>
      <c r="M637" s="4" t="str" cm="1">
        <f t="array" ref="M637">MID(A637,MAX(IFERROR(FIND({"省"},A637),0),IFERROR(FIND({"市"},A637),0),IFERROR(FIND({"区"},A637),0),IFERROR(FIND({"县"},A637),0))+1,FIND("街道",A637)-MAX(IFERROR(FIND({"省"},A637),0),IFERROR(FIND({"市"},A637),0),IFERROR(FIND({"区"},A637),0),IFERROR(FIND({"县"},A637),0))-1+2)</f>
        <v>鳌峰街道</v>
      </c>
      <c r="O637" s="4" t="str" cm="1">
        <f t="array" ref="O637">_xlfn.LET(_xlpm.fullText,A637,_xlpm.streetPos,FIND("街道",_xlpm.fullText)+2,_xlpm.prefixText,LEFT(_xlpm.fullText,_xlpm.streetPos-1),_xlpm.adminPos,MAX(IFERROR(FIND({"省","市","区","县"},_xlpm.prefixText),0)),IF(_xlpm.adminPos&gt;0,MID(_xlpm.prefixText,_xlpm.adminPos+1,_xlpm.streetPos-_xlpm.adminPos-3+2),LEFT(_xlpm.prefixText,FIND("街道",_xlpm.prefixText)-1+2)))</f>
        <v>鳌峰街道</v>
      </c>
      <c r="Q637" s="4" t="str" cm="1">
        <f t="array" ref="Q637">_xlfn.LET(_xlpm.fullText,A637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鳌峰街道</v>
      </c>
    </row>
    <row r="638" spans="1:17">
      <c r="A638" s="3" t="s">
        <v>27</v>
      </c>
      <c r="K638" s="4" t="str" cm="1">
        <f t="array" ref="K638">MID(A638,MAX(IFERROR(FIND({"省","市","区","县"},A638),0))+1,FIND("街道",A638)-MAX(IFERROR(FIND({"省","市","区","县"},A638),0))-1+2)</f>
        <v>东海街道</v>
      </c>
      <c r="M638" s="4" t="str" cm="1">
        <f t="array" ref="M638">MID(A638,MAX(IFERROR(FIND({"省"},A638),0),IFERROR(FIND({"市"},A638),0),IFERROR(FIND({"区"},A638),0),IFERROR(FIND({"县"},A638),0))+1,FIND("街道",A638)-MAX(IFERROR(FIND({"省"},A638),0),IFERROR(FIND({"市"},A638),0),IFERROR(FIND({"区"},A638),0),IFERROR(FIND({"县"},A638),0))-1+2)</f>
        <v>东海街道</v>
      </c>
      <c r="O638" s="4" t="str" cm="1">
        <f t="array" ref="O638">_xlfn.LET(_xlpm.fullText,A638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38" s="4" t="str" cm="1">
        <f t="array" ref="Q638">_xlfn.LET(_xlpm.fullText,A638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39" spans="1:17">
      <c r="A639" s="3" t="s">
        <v>27</v>
      </c>
      <c r="K639" s="4" t="str" cm="1">
        <f t="array" ref="K639">MID(A639,MAX(IFERROR(FIND({"省","市","区","县"},A639),0))+1,FIND("街道",A639)-MAX(IFERROR(FIND({"省","市","区","县"},A639),0))-1+2)</f>
        <v>东海街道</v>
      </c>
      <c r="M639" s="4" t="str" cm="1">
        <f t="array" ref="M639">MID(A639,MAX(IFERROR(FIND({"省"},A639),0),IFERROR(FIND({"市"},A639),0),IFERROR(FIND({"区"},A639),0),IFERROR(FIND({"县"},A639),0))+1,FIND("街道",A639)-MAX(IFERROR(FIND({"省"},A639),0),IFERROR(FIND({"市"},A639),0),IFERROR(FIND({"区"},A639),0),IFERROR(FIND({"县"},A639),0))-1+2)</f>
        <v>东海街道</v>
      </c>
      <c r="O639" s="4" t="str" cm="1">
        <f t="array" ref="O639">_xlfn.LET(_xlpm.fullText,A639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39" s="4" t="str" cm="1">
        <f t="array" ref="Q639">_xlfn.LET(_xlpm.fullText,A639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0" spans="1:17">
      <c r="A640" s="3" t="s">
        <v>299</v>
      </c>
      <c r="K640" s="4" t="str" cm="1">
        <f t="array" ref="K640">MID(A640,MAX(IFERROR(FIND({"省","市","区","县"},A640),0))+1,FIND("街道",A640)-MAX(IFERROR(FIND({"省","市","区","县"},A640),0))-1+2)</f>
        <v>城东街道</v>
      </c>
      <c r="M640" s="4" t="str" cm="1">
        <f t="array" ref="M640">MID(A640,MAX(IFERROR(FIND({"省"},A640),0),IFERROR(FIND({"市"},A640),0),IFERROR(FIND({"区"},A640),0),IFERROR(FIND({"县"},A640),0))+1,FIND("街道",A640)-MAX(IFERROR(FIND({"省"},A640),0),IFERROR(FIND({"市"},A640),0),IFERROR(FIND({"区"},A640),0),IFERROR(FIND({"县"},A640),0))-1+2)</f>
        <v>城东街道</v>
      </c>
      <c r="O640" s="4" t="str" cm="1">
        <f t="array" ref="O640">_xlfn.LET(_xlpm.fullText,A640,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640" s="4" t="str" cm="1">
        <f t="array" ref="Q640">_xlfn.LET(_xlpm.fullText,A640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641" spans="1:17">
      <c r="A641" s="3" t="s">
        <v>300</v>
      </c>
      <c r="K641" s="4" t="str" cm="1">
        <f t="array" ref="K641">MID(A641,MAX(IFERROR(FIND({"省","市","区","县"},A641),0))+1,FIND("街道",A641)-MAX(IFERROR(FIND({"省","市","区","县"},A641),0))-1+2)</f>
        <v>南城街道</v>
      </c>
      <c r="M641" s="4" t="str" cm="1">
        <f t="array" ref="M641">MID(A641,MAX(IFERROR(FIND({"省"},A641),0),IFERROR(FIND({"市"},A641),0),IFERROR(FIND({"区"},A641),0),IFERROR(FIND({"县"},A641),0))+1,FIND("街道",A641)-MAX(IFERROR(FIND({"省"},A641),0),IFERROR(FIND({"市"},A641),0),IFERROR(FIND({"区"},A641),0),IFERROR(FIND({"县"},A641),0))-1+2)</f>
        <v>南城街道</v>
      </c>
      <c r="O641" s="4" t="str" cm="1">
        <f t="array" ref="O641">_xlfn.LET(_xlpm.fullText,A641,_xlpm.streetPos,FIND("街道",_xlpm.fullText)+2,_xlpm.prefixText,LEFT(_xlpm.fullText,_xlpm.streetPos-1),_xlpm.adminPos,MAX(IFERROR(FIND({"省","市","区","县"},_xlpm.prefixText),0)),IF(_xlpm.adminPos&gt;0,MID(_xlpm.prefixText,_xlpm.adminPos+1,_xlpm.streetPos-_xlpm.adminPos-3+2),LEFT(_xlpm.prefixText,FIND("街道",_xlpm.prefixText)-1+2)))</f>
        <v>南城街道</v>
      </c>
      <c r="Q641" s="4" t="str" cm="1">
        <f t="array" ref="Q641">_xlfn.LET(_xlpm.fullText,A641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南城街道</v>
      </c>
    </row>
    <row r="642" spans="1:17">
      <c r="A642" s="3" t="s">
        <v>301</v>
      </c>
      <c r="K642" s="4" t="str" cm="1">
        <f t="array" ref="K642">MID(A642,MAX(IFERROR(FIND({"省","市","区","县"},A642),0))+1,FIND("街道",A642)-MAX(IFERROR(FIND({"省","市","区","县"},A642),0))-1+2)</f>
        <v>东城街道</v>
      </c>
      <c r="M642" s="4" t="str" cm="1">
        <f t="array" ref="M642">MID(A642,MAX(IFERROR(FIND({"省"},A642),0),IFERROR(FIND({"市"},A642),0),IFERROR(FIND({"区"},A642),0),IFERROR(FIND({"县"},A642),0))+1,FIND("街道",A642)-MAX(IFERROR(FIND({"省"},A642),0),IFERROR(FIND({"市"},A642),0),IFERROR(FIND({"区"},A642),0),IFERROR(FIND({"县"},A642),0))-1+2)</f>
        <v>东城街道</v>
      </c>
      <c r="O642" s="4" t="str" cm="1">
        <f t="array" ref="O642">_xlfn.LET(_xlpm.fullText,A642,_xlpm.streetPos,FIND("街道",_xlpm.fullText)+2,_xlpm.prefixText,LEFT(_xlpm.fullText,_xlpm.streetPos-1),_xlpm.adminPos,MAX(IFERROR(FIND({"省","市","区","县"},_xlpm.prefixText),0)),IF(_xlpm.adminPos&gt;0,MID(_xlpm.prefixText,_xlpm.adminPos+1,_xlpm.streetPos-_xlpm.adminPos-3+2),LEFT(_xlpm.prefixText,FIND("街道",_xlpm.prefixText)-1+2)))</f>
        <v>东城街道</v>
      </c>
      <c r="Q642" s="4" t="str" cm="1">
        <f t="array" ref="Q642">_xlfn.LET(_xlpm.fullText,A642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东城街道</v>
      </c>
    </row>
    <row r="643" spans="1:17">
      <c r="A643" s="3" t="s">
        <v>27</v>
      </c>
      <c r="K643" s="4" t="str" cm="1">
        <f t="array" ref="K643">MID(A643,MAX(IFERROR(FIND({"省","市","区","县"},A643),0))+1,FIND("街道",A643)-MAX(IFERROR(FIND({"省","市","区","县"},A643),0))-1+2)</f>
        <v>东海街道</v>
      </c>
      <c r="M643" s="4" t="str" cm="1">
        <f t="array" ref="M643">MID(A643,MAX(IFERROR(FIND({"省"},A643),0),IFERROR(FIND({"市"},A643),0),IFERROR(FIND({"区"},A643),0),IFERROR(FIND({"县"},A643),0))+1,FIND("街道",A643)-MAX(IFERROR(FIND({"省"},A643),0),IFERROR(FIND({"市"},A643),0),IFERROR(FIND({"区"},A643),0),IFERROR(FIND({"县"},A643),0))-1+2)</f>
        <v>东海街道</v>
      </c>
      <c r="O643" s="4" t="str" cm="1">
        <f t="array" ref="O643">_xlfn.LET(_xlpm.fullText,A643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3" s="4" t="str" cm="1">
        <f t="array" ref="Q643">_xlfn.LET(_xlpm.fullText,A643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4" spans="1:17">
      <c r="A644" s="3" t="s">
        <v>153</v>
      </c>
      <c r="K644" s="4" t="str" cm="1">
        <f t="array" ref="K644">MID(A644,MAX(IFERROR(FIND({"省","市","区","县"},A644),0))+1,FIND("街道",A644)-MAX(IFERROR(FIND({"省","市","区","县"},A644),0))-1+2)</f>
        <v>东海街道</v>
      </c>
      <c r="M644" s="4" t="str" cm="1">
        <f t="array" ref="M644">MID(A644,MAX(IFERROR(FIND({"省"},A644),0),IFERROR(FIND({"市"},A644),0),IFERROR(FIND({"区"},A644),0),IFERROR(FIND({"县"},A644),0))+1,FIND("街道",A644)-MAX(IFERROR(FIND({"省"},A644),0),IFERROR(FIND({"市"},A644),0),IFERROR(FIND({"区"},A644),0),IFERROR(FIND({"县"},A644),0))-1+2)</f>
        <v>东海街道</v>
      </c>
      <c r="O644" s="4" t="str" cm="1">
        <f t="array" ref="O644">_xlfn.LET(_xlpm.fullText,A644,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4" s="4" t="str" cm="1">
        <f t="array" ref="Q644">_xlfn.LET(_xlpm.fullText,A644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5" spans="1:17">
      <c r="A645" s="3" t="s">
        <v>27</v>
      </c>
      <c r="K645" s="4" t="str" cm="1">
        <f t="array" ref="K645">MID(A645,MAX(IFERROR(FIND({"省","市","区","县"},A645),0))+1,FIND("街道",A645)-MAX(IFERROR(FIND({"省","市","区","县"},A645),0))-1+2)</f>
        <v>东海街道</v>
      </c>
      <c r="M645" s="4" t="str" cm="1">
        <f t="array" ref="M645">MID(A645,MAX(IFERROR(FIND({"省"},A645),0),IFERROR(FIND({"市"},A645),0),IFERROR(FIND({"区"},A645),0),IFERROR(FIND({"县"},A645),0))+1,FIND("街道",A645)-MAX(IFERROR(FIND({"省"},A645),0),IFERROR(FIND({"市"},A645),0),IFERROR(FIND({"区"},A645),0),IFERROR(FIND({"县"},A645),0))-1+2)</f>
        <v>东海街道</v>
      </c>
      <c r="O645" s="4" t="str" cm="1">
        <f t="array" ref="O645">_xlfn.LET(_xlpm.fullText,A645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5" s="4" t="str" cm="1">
        <f t="array" ref="Q645">_xlfn.LET(_xlpm.fullText,A645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6" spans="1:17">
      <c r="A646" s="3" t="s">
        <v>27</v>
      </c>
      <c r="K646" s="4" t="str" cm="1">
        <f t="array" ref="K646">MID(A646,MAX(IFERROR(FIND({"省","市","区","县"},A646),0))+1,FIND("街道",A646)-MAX(IFERROR(FIND({"省","市","区","县"},A646),0))-1+2)</f>
        <v>东海街道</v>
      </c>
      <c r="M646" s="4" t="str" cm="1">
        <f t="array" ref="M646">MID(A646,MAX(IFERROR(FIND({"省"},A646),0),IFERROR(FIND({"市"},A646),0),IFERROR(FIND({"区"},A646),0),IFERROR(FIND({"县"},A646),0))+1,FIND("街道",A646)-MAX(IFERROR(FIND({"省"},A646),0),IFERROR(FIND({"市"},A646),0),IFERROR(FIND({"区"},A646),0),IFERROR(FIND({"县"},A646),0))-1+2)</f>
        <v>东海街道</v>
      </c>
      <c r="O646" s="4" t="str" cm="1">
        <f t="array" ref="O646">_xlfn.LET(_xlpm.fullText,A646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6" s="4" t="str" cm="1">
        <f t="array" ref="Q646">_xlfn.LET(_xlpm.fullText,A646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7" spans="1:17">
      <c r="A647" s="3" t="s">
        <v>27</v>
      </c>
      <c r="K647" s="4" t="str" cm="1">
        <f t="array" ref="K647">MID(A647,MAX(IFERROR(FIND({"省","市","区","县"},A647),0))+1,FIND("街道",A647)-MAX(IFERROR(FIND({"省","市","区","县"},A647),0))-1+2)</f>
        <v>东海街道</v>
      </c>
      <c r="M647" s="4" t="str" cm="1">
        <f t="array" ref="M647">MID(A647,MAX(IFERROR(FIND({"省"},A647),0),IFERROR(FIND({"市"},A647),0),IFERROR(FIND({"区"},A647),0),IFERROR(FIND({"县"},A647),0))+1,FIND("街道",A647)-MAX(IFERROR(FIND({"省"},A647),0),IFERROR(FIND({"市"},A647),0),IFERROR(FIND({"区"},A647),0),IFERROR(FIND({"县"},A647),0))-1+2)</f>
        <v>东海街道</v>
      </c>
      <c r="O647" s="4" t="str" cm="1">
        <f t="array" ref="O647">_xlfn.LET(_xlpm.fullText,A647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7" s="4" t="str" cm="1">
        <f t="array" ref="Q647">_xlfn.LET(_xlpm.fullText,A647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48" spans="1:17">
      <c r="A648" s="3" t="s">
        <v>302</v>
      </c>
      <c r="K648" s="4" t="str" cm="1">
        <f t="array" ref="K648">MID(A648,MAX(IFERROR(FIND({"省","市","区","县"},A648),0))+1,FIND("街道",A648)-MAX(IFERROR(FIND({"省","市","区","县"},A648),0))-1+2)</f>
        <v>嵩屿街道</v>
      </c>
      <c r="M648" s="4" t="str" cm="1">
        <f t="array" ref="M648">MID(A648,MAX(IFERROR(FIND({"省"},A648),0),IFERROR(FIND({"市"},A648),0),IFERROR(FIND({"区"},A648),0),IFERROR(FIND({"县"},A648),0))+1,FIND("街道",A648)-MAX(IFERROR(FIND({"省"},A648),0),IFERROR(FIND({"市"},A648),0),IFERROR(FIND({"区"},A648),0),IFERROR(FIND({"县"},A648),0))-1+2)</f>
        <v>嵩屿街道</v>
      </c>
      <c r="O648" s="4" t="str" cm="1">
        <f t="array" ref="O648">_xlfn.LET(_xlpm.fullText,A648,_xlpm.streetPos,FIND("街道",_xlpm.fullText)+2,_xlpm.prefixText,LEFT(_xlpm.fullText,_xlpm.streetPos-1),_xlpm.adminPos,MAX(IFERROR(FIND({"省","市","区","县"},_xlpm.prefixText),0)),IF(_xlpm.adminPos&gt;0,MID(_xlpm.prefixText,_xlpm.adminPos+1,_xlpm.streetPos-_xlpm.adminPos-3+2),LEFT(_xlpm.prefixText,FIND("街道",_xlpm.prefixText)-1+2)))</f>
        <v>嵩屿街道</v>
      </c>
      <c r="Q648" s="4" t="str" cm="1">
        <f t="array" ref="Q648">_xlfn.LET(_xlpm.fullText,A648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嵩屿街道</v>
      </c>
    </row>
    <row r="649" spans="1:17">
      <c r="A649" s="3" t="s">
        <v>27</v>
      </c>
      <c r="K649" s="4" t="str" cm="1">
        <f t="array" ref="K649">MID(A649,MAX(IFERROR(FIND({"省","市","区","县"},A649),0))+1,FIND("街道",A649)-MAX(IFERROR(FIND({"省","市","区","县"},A649),0))-1+2)</f>
        <v>东海街道</v>
      </c>
      <c r="M649" s="4" t="str" cm="1">
        <f t="array" ref="M649">MID(A649,MAX(IFERROR(FIND({"省"},A649),0),IFERROR(FIND({"市"},A649),0),IFERROR(FIND({"区"},A649),0),IFERROR(FIND({"县"},A649),0))+1,FIND("街道",A649)-MAX(IFERROR(FIND({"省"},A649),0),IFERROR(FIND({"市"},A649),0),IFERROR(FIND({"区"},A649),0),IFERROR(FIND({"县"},A649),0))-1+2)</f>
        <v>东海街道</v>
      </c>
      <c r="O649" s="4" t="str" cm="1">
        <f t="array" ref="O649">_xlfn.LET(_xlpm.fullText,A649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49" s="4" t="str" cm="1">
        <f t="array" ref="Q649">_xlfn.LET(_xlpm.fullText,A649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50" spans="1:17">
      <c r="A650" s="3" t="s">
        <v>225</v>
      </c>
      <c r="K650" s="4" t="str" cm="1">
        <f t="array" ref="K650">MID(A650,MAX(IFERROR(FIND({"省","市","区","县"},A650),0))+1,FIND("街道",A650)-MAX(IFERROR(FIND({"省","市","区","县"},A650),0))-1+2)</f>
        <v>湖里街道</v>
      </c>
      <c r="M650" s="4" t="str" cm="1">
        <f t="array" ref="M650">MID(A650,MAX(IFERROR(FIND({"省"},A650),0),IFERROR(FIND({"市"},A650),0),IFERROR(FIND({"区"},A650),0),IFERROR(FIND({"县"},A650),0))+1,FIND("街道",A650)-MAX(IFERROR(FIND({"省"},A650),0),IFERROR(FIND({"市"},A650),0),IFERROR(FIND({"区"},A650),0),IFERROR(FIND({"县"},A650),0))-1+2)</f>
        <v>湖里街道</v>
      </c>
      <c r="O650" s="4" t="str" cm="1">
        <f t="array" ref="O650">_xlfn.LET(_xlpm.fullText,A650,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650" s="4" t="str" cm="1">
        <f t="array" ref="Q650">_xlfn.LET(_xlpm.fullText,A650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651" spans="1:17">
      <c r="A651" s="3" t="s">
        <v>303</v>
      </c>
      <c r="K651" s="4" t="str" cm="1">
        <f t="array" ref="K651">MID(A651,MAX(IFERROR(FIND({"省","市","区","县"},A651),0))+1,FIND("街道",A651)-MAX(IFERROR(FIND({"省","市","区","县"},A651),0))-1+2)</f>
        <v>唯亭街道</v>
      </c>
      <c r="M651" s="4" t="str" cm="1">
        <f t="array" ref="M651">MID(A651,MAX(IFERROR(FIND({"省"},A651),0),IFERROR(FIND({"市"},A651),0),IFERROR(FIND({"区"},A651),0),IFERROR(FIND({"县"},A651),0))+1,FIND("街道",A651)-MAX(IFERROR(FIND({"省"},A651),0),IFERROR(FIND({"市"},A651),0),IFERROR(FIND({"区"},A651),0),IFERROR(FIND({"县"},A651),0))-1+2)</f>
        <v>唯亭街道</v>
      </c>
      <c r="O651" s="4" t="str" cm="1">
        <f t="array" ref="O651">_xlfn.LET(_xlpm.fullText,A651,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651" s="4" t="str" cm="1">
        <f t="array" ref="Q651">_xlfn.LET(_xlpm.fullText,A651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652" spans="1:17">
      <c r="A652" s="3" t="s">
        <v>304</v>
      </c>
      <c r="K652" s="4" t="str" cm="1">
        <f t="array" ref="K652">MID(A652,MAX(IFERROR(FIND({"省","市","区","县"},A652),0))+1,FIND("街道",A652)-MAX(IFERROR(FIND({"省","市","区","县"},A652),0))-1+2)</f>
        <v>火花街道</v>
      </c>
      <c r="M652" s="4" t="str" cm="1">
        <f t="array" ref="M652">MID(A652,MAX(IFERROR(FIND({"省"},A652),0),IFERROR(FIND({"市"},A652),0),IFERROR(FIND({"区"},A652),0),IFERROR(FIND({"县"},A652),0))+1,FIND("街道",A652)-MAX(IFERROR(FIND({"省"},A652),0),IFERROR(FIND({"市"},A652),0),IFERROR(FIND({"区"},A652),0),IFERROR(FIND({"县"},A652),0))-1+2)</f>
        <v>火花街道</v>
      </c>
      <c r="O652" s="4" t="str" cm="1">
        <f t="array" ref="O652">_xlfn.LET(_xlpm.fullText,A652,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652" s="4" t="str" cm="1">
        <f t="array" ref="Q652">_xlfn.LET(_xlpm.fullText,A652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653" ht="28.8" spans="1:17">
      <c r="A653" s="3" t="s">
        <v>305</v>
      </c>
      <c r="K653" s="4" t="str" cm="1">
        <f t="array" ref="K653">MID(A653,MAX(IFERROR(FIND({"省","市","区","县"},A653),0))+1,FIND("街道",A653)-MAX(IFERROR(FIND({"省","市","区","县"},A653),0))-1+2)</f>
        <v>翠屏山街道</v>
      </c>
      <c r="M653" s="4" t="str" cm="1">
        <f t="array" ref="M653">MID(A653,MAX(IFERROR(FIND({"省"},A653),0),IFERROR(FIND({"市"},A653),0),IFERROR(FIND({"区"},A653),0),IFERROR(FIND({"县"},A653),0))+1,FIND("街道",A653)-MAX(IFERROR(FIND({"省"},A653),0),IFERROR(FIND({"市"},A653),0),IFERROR(FIND({"区"},A653),0),IFERROR(FIND({"县"},A653),0))-1+2)</f>
        <v>翠屏山街道</v>
      </c>
      <c r="O653" s="4" t="str" cm="1">
        <f t="array" ref="O653">_xlfn.LET(_xlpm.fullText,A653,_xlpm.streetPos,FIND("街道",_xlpm.fullText)+2,_xlpm.prefixText,LEFT(_xlpm.fullText,_xlpm.streetPos-1),_xlpm.adminPos,MAX(IFERROR(FIND({"省","市","区","县"},_xlpm.prefixText),0)),IF(_xlpm.adminPos&gt;0,MID(_xlpm.prefixText,_xlpm.adminPos+1,_xlpm.streetPos-_xlpm.adminPos-3+2),LEFT(_xlpm.prefixText,FIND("街道",_xlpm.prefixText)-1+2)))</f>
        <v>翠屏山街道</v>
      </c>
      <c r="Q653" s="4" t="str" cm="1">
        <f t="array" ref="Q653">_xlfn.LET(_xlpm.fullText,A653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翠屏山街道</v>
      </c>
    </row>
    <row r="654" spans="1:17">
      <c r="A654" s="3" t="s">
        <v>306</v>
      </c>
      <c r="K654" s="4" t="str" cm="1">
        <f t="array" ref="K654">MID(A654,MAX(IFERROR(FIND({"省","市","区","县"},A654),0))+1,FIND("街道",A654)-MAX(IFERROR(FIND({"省","市","区","县"},A654),0))-1+2)</f>
        <v>松陵街道</v>
      </c>
      <c r="M654" s="4" t="str" cm="1">
        <f t="array" ref="M654">MID(A654,MAX(IFERROR(FIND({"省"},A654),0),IFERROR(FIND({"市"},A654),0),IFERROR(FIND({"区"},A654),0),IFERROR(FIND({"县"},A654),0))+1,FIND("街道",A654)-MAX(IFERROR(FIND({"省"},A654),0),IFERROR(FIND({"市"},A654),0),IFERROR(FIND({"区"},A654),0),IFERROR(FIND({"县"},A654),0))-1+2)</f>
        <v>松陵街道</v>
      </c>
      <c r="O654" s="4" t="str" cm="1">
        <f t="array" ref="O654">_xlfn.LET(_xlpm.fullText,A654,_xlpm.streetPos,FIND("街道",_xlpm.fullText)+2,_xlpm.prefixText,LEFT(_xlpm.fullText,_xlpm.streetPos-1),_xlpm.adminPos,MAX(IFERROR(FIND({"省","市","区","县"},_xlpm.prefixText),0)),IF(_xlpm.adminPos&gt;0,MID(_xlpm.prefixText,_xlpm.adminPos+1,_xlpm.streetPos-_xlpm.adminPos-3+2),LEFT(_xlpm.prefixText,FIND("街道",_xlpm.prefixText)-1+2)))</f>
        <v>松陵街道</v>
      </c>
      <c r="Q654" s="4" t="str" cm="1">
        <f t="array" ref="Q654">_xlfn.LET(_xlpm.fullText,A654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松陵街道</v>
      </c>
    </row>
    <row r="655" spans="1:17">
      <c r="A655" s="3" t="s">
        <v>27</v>
      </c>
      <c r="K655" s="4" t="str" cm="1">
        <f t="array" ref="K655">MID(A655,MAX(IFERROR(FIND({"省","市","区","县"},A655),0))+1,FIND("街道",A655)-MAX(IFERROR(FIND({"省","市","区","县"},A655),0))-1+2)</f>
        <v>东海街道</v>
      </c>
      <c r="M655" s="4" t="str" cm="1">
        <f t="array" ref="M655">MID(A655,MAX(IFERROR(FIND({"省"},A655),0),IFERROR(FIND({"市"},A655),0),IFERROR(FIND({"区"},A655),0),IFERROR(FIND({"县"},A655),0))+1,FIND("街道",A655)-MAX(IFERROR(FIND({"省"},A655),0),IFERROR(FIND({"市"},A655),0),IFERROR(FIND({"区"},A655),0),IFERROR(FIND({"县"},A655),0))-1+2)</f>
        <v>东海街道</v>
      </c>
      <c r="O655" s="4" t="str" cm="1">
        <f t="array" ref="O655">_xlfn.LET(_xlpm.fullText,A655,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55" s="4" t="str" cm="1">
        <f t="array" ref="Q655">_xlfn.LET(_xlpm.fullText,A655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56" spans="1:17">
      <c r="A656" s="3" t="s">
        <v>27</v>
      </c>
      <c r="K656" s="4" t="str" cm="1">
        <f t="array" ref="K656">MID(A656,MAX(IFERROR(FIND({"省","市","区","县"},A656),0))+1,FIND("街道",A656)-MAX(IFERROR(FIND({"省","市","区","县"},A656),0))-1+2)</f>
        <v>东海街道</v>
      </c>
      <c r="M656" s="4" t="str" cm="1">
        <f t="array" ref="M656">MID(A656,MAX(IFERROR(FIND({"省"},A656),0),IFERROR(FIND({"市"},A656),0),IFERROR(FIND({"区"},A656),0),IFERROR(FIND({"县"},A656),0))+1,FIND("街道",A656)-MAX(IFERROR(FIND({"省"},A656),0),IFERROR(FIND({"市"},A656),0),IFERROR(FIND({"区"},A656),0),IFERROR(FIND({"县"},A656),0))-1+2)</f>
        <v>东海街道</v>
      </c>
      <c r="O656" s="4" t="str" cm="1">
        <f t="array" ref="O656">_xlfn.LET(_xlpm.fullText,A656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56" s="4" t="str" cm="1">
        <f t="array" ref="Q656">_xlfn.LET(_xlpm.fullText,A656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57" spans="1:17">
      <c r="A657" s="3" t="s">
        <v>307</v>
      </c>
      <c r="K657" s="4" t="str" cm="1">
        <f t="array" ref="K657">MID(A657,MAX(IFERROR(FIND({"省","市","区","县"},A657),0))+1,FIND("街道",A657)-MAX(IFERROR(FIND({"省","市","区","县"},A657),0))-1+2)</f>
        <v>金海街道</v>
      </c>
      <c r="M657" s="4" t="str" cm="1">
        <f t="array" ref="M657">MID(A657,MAX(IFERROR(FIND({"省"},A657),0),IFERROR(FIND({"市"},A657),0),IFERROR(FIND({"区"},A657),0),IFERROR(FIND({"县"},A657),0))+1,FIND("街道",A657)-MAX(IFERROR(FIND({"省"},A657),0),IFERROR(FIND({"市"},A657),0),IFERROR(FIND({"区"},A657),0),IFERROR(FIND({"县"},A657),0))-1+2)</f>
        <v>金海街道</v>
      </c>
      <c r="O657" s="4" t="str" cm="1">
        <f t="array" ref="O657">_xlfn.LET(_xlpm.fullText,A657,_xlpm.streetPos,FIND("街道",_xlpm.fullText)+2,_xlpm.prefixText,LEFT(_xlpm.fullText,_xlpm.streetPos-1),_xlpm.adminPos,MAX(IFERROR(FIND({"省","市","区","县"},_xlpm.prefixText),0)),IF(_xlpm.adminPos&gt;0,MID(_xlpm.prefixText,_xlpm.adminPos+1,_xlpm.streetPos-_xlpm.adminPos-3+2),LEFT(_xlpm.prefixText,FIND("街道",_xlpm.prefixText)-1+2)))</f>
        <v>金海街道</v>
      </c>
      <c r="Q657" s="4" t="str" cm="1">
        <f t="array" ref="Q657">_xlfn.LET(_xlpm.fullText,A657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金海街道</v>
      </c>
    </row>
    <row r="658" spans="1:17">
      <c r="A658" s="3" t="s">
        <v>27</v>
      </c>
      <c r="K658" s="4" t="str" cm="1">
        <f t="array" ref="K658">MID(A658,MAX(IFERROR(FIND({"省","市","区","县"},A658),0))+1,FIND("街道",A658)-MAX(IFERROR(FIND({"省","市","区","县"},A658),0))-1+2)</f>
        <v>东海街道</v>
      </c>
      <c r="M658" s="4" t="str" cm="1">
        <f t="array" ref="M658">MID(A658,MAX(IFERROR(FIND({"省"},A658),0),IFERROR(FIND({"市"},A658),0),IFERROR(FIND({"区"},A658),0),IFERROR(FIND({"县"},A658),0))+1,FIND("街道",A658)-MAX(IFERROR(FIND({"省"},A658),0),IFERROR(FIND({"市"},A658),0),IFERROR(FIND({"区"},A658),0),IFERROR(FIND({"县"},A658),0))-1+2)</f>
        <v>东海街道</v>
      </c>
      <c r="O658" s="4" t="str" cm="1">
        <f t="array" ref="O658">_xlfn.LET(_xlpm.fullText,A658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58" s="4" t="str" cm="1">
        <f t="array" ref="Q658">_xlfn.LET(_xlpm.fullText,A658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59" spans="1:17">
      <c r="A659" s="3" t="s">
        <v>308</v>
      </c>
      <c r="K659" s="4" t="str" cm="1">
        <f t="array" ref="K659">MID(A659,MAX(IFERROR(FIND({"省","市","区","县"},A659),0))+1,FIND("街道",A659)-MAX(IFERROR(FIND({"省","市","区","县"},A659),0))-1+2)</f>
        <v>东海街道</v>
      </c>
      <c r="M659" s="4" t="str" cm="1">
        <f t="array" ref="M659">MID(A659,MAX(IFERROR(FIND({"省"},A659),0),IFERROR(FIND({"市"},A659),0),IFERROR(FIND({"区"},A659),0),IFERROR(FIND({"县"},A659),0))+1,FIND("街道",A659)-MAX(IFERROR(FIND({"省"},A659),0),IFERROR(FIND({"市"},A659),0),IFERROR(FIND({"区"},A659),0),IFERROR(FIND({"县"},A659),0))-1+2)</f>
        <v>东海街道</v>
      </c>
      <c r="O659" s="4" t="str" cm="1">
        <f t="array" ref="O659">_xlfn.LET(_xlpm.fullText,A659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59" s="4" t="str" cm="1">
        <f t="array" ref="Q659">_xlfn.LET(_xlpm.fullText,A659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0" spans="1:17">
      <c r="A660" s="3" t="s">
        <v>309</v>
      </c>
      <c r="K660" s="4" t="str" cm="1">
        <f t="array" ref="K660">MID(A660,MAX(IFERROR(FIND({"省","市","区","县"},A660),0))+1,FIND("街道",A660)-MAX(IFERROR(FIND({"省","市","区","县"},A660),0))-1+2)</f>
        <v>海沧街道</v>
      </c>
      <c r="M660" s="4" t="str" cm="1">
        <f t="array" ref="M660">MID(A660,MAX(IFERROR(FIND({"省"},A660),0),IFERROR(FIND({"市"},A660),0),IFERROR(FIND({"区"},A660),0),IFERROR(FIND({"县"},A660),0))+1,FIND("街道",A660)-MAX(IFERROR(FIND({"省"},A660),0),IFERROR(FIND({"市"},A660),0),IFERROR(FIND({"区"},A660),0),IFERROR(FIND({"县"},A660),0))-1+2)</f>
        <v>海沧街道</v>
      </c>
      <c r="O660" s="4" t="str" cm="1">
        <f t="array" ref="O660">_xlfn.LET(_xlpm.fullText,A660,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660" s="4" t="str" cm="1">
        <f t="array" ref="Q660">_xlfn.LET(_xlpm.fullText,A660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661" spans="1:17">
      <c r="A661" s="3" t="s">
        <v>54</v>
      </c>
      <c r="K661" s="4" t="str" cm="1">
        <f t="array" ref="K661">MID(A661,MAX(IFERROR(FIND({"省","市","区","县"},A661),0))+1,FIND("街道",A661)-MAX(IFERROR(FIND({"省","市","区","县"},A661),0))-1+2)</f>
        <v>东海街道</v>
      </c>
      <c r="M661" s="4" t="str" cm="1">
        <f t="array" ref="M661">MID(A661,MAX(IFERROR(FIND({"省"},A661),0),IFERROR(FIND({"市"},A661),0),IFERROR(FIND({"区"},A661),0),IFERROR(FIND({"县"},A661),0))+1,FIND("街道",A661)-MAX(IFERROR(FIND({"省"},A661),0),IFERROR(FIND({"市"},A661),0),IFERROR(FIND({"区"},A661),0),IFERROR(FIND({"县"},A661),0))-1+2)</f>
        <v>东海街道</v>
      </c>
      <c r="O661" s="4" t="str" cm="1">
        <f t="array" ref="O661">_xlfn.LET(_xlpm.fullText,A661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1" s="4" t="str" cm="1">
        <f t="array" ref="Q661">_xlfn.LET(_xlpm.fullText,A661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2" spans="1:17">
      <c r="A662" s="3" t="s">
        <v>310</v>
      </c>
      <c r="K662" s="4" t="str" cm="1">
        <f t="array" ref="K662">MID(A662,MAX(IFERROR(FIND({"省","市","区","县"},A662),0))+1,FIND("街道",A662)-MAX(IFERROR(FIND({"省","市","区","县"},A662),0))-1+2)</f>
        <v>东海街道</v>
      </c>
      <c r="M662" s="4" t="str" cm="1">
        <f t="array" ref="M662">MID(A662,MAX(IFERROR(FIND({"省"},A662),0),IFERROR(FIND({"市"},A662),0),IFERROR(FIND({"区"},A662),0),IFERROR(FIND({"县"},A662),0))+1,FIND("街道",A662)-MAX(IFERROR(FIND({"省"},A662),0),IFERROR(FIND({"市"},A662),0),IFERROR(FIND({"区"},A662),0),IFERROR(FIND({"县"},A662),0))-1+2)</f>
        <v>东海街道</v>
      </c>
      <c r="O662" s="4" t="str" cm="1">
        <f t="array" ref="O662">_xlfn.LET(_xlpm.fullText,A662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2" s="4" t="str" cm="1">
        <f t="array" ref="Q662">_xlfn.LET(_xlpm.fullText,A662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3" spans="1:17">
      <c r="A663" s="3" t="s">
        <v>310</v>
      </c>
      <c r="K663" s="4" t="str" cm="1">
        <f t="array" ref="K663">MID(A663,MAX(IFERROR(FIND({"省","市","区","县"},A663),0))+1,FIND("街道",A663)-MAX(IFERROR(FIND({"省","市","区","县"},A663),0))-1+2)</f>
        <v>东海街道</v>
      </c>
      <c r="M663" s="4" t="str" cm="1">
        <f t="array" ref="M663">MID(A663,MAX(IFERROR(FIND({"省"},A663),0),IFERROR(FIND({"市"},A663),0),IFERROR(FIND({"区"},A663),0),IFERROR(FIND({"县"},A663),0))+1,FIND("街道",A663)-MAX(IFERROR(FIND({"省"},A663),0),IFERROR(FIND({"市"},A663),0),IFERROR(FIND({"区"},A663),0),IFERROR(FIND({"县"},A663),0))-1+2)</f>
        <v>东海街道</v>
      </c>
      <c r="O663" s="4" t="str" cm="1">
        <f t="array" ref="O663">_xlfn.LET(_xlpm.fullText,A663,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3" s="4" t="str" cm="1">
        <f t="array" ref="Q663">_xlfn.LET(_xlpm.fullText,A663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4" spans="1:17">
      <c r="A664" s="3" t="s">
        <v>311</v>
      </c>
      <c r="K664" s="4" t="str" cm="1">
        <f t="array" ref="K664">MID(A664,MAX(IFERROR(FIND({"省","市","区","县"},A664),0))+1,FIND("街道",A664)-MAX(IFERROR(FIND({"省","市","区","县"},A664),0))-1+2)</f>
        <v>江溪街道</v>
      </c>
      <c r="M664" s="4" t="str" cm="1">
        <f t="array" ref="M664">MID(A664,MAX(IFERROR(FIND({"省"},A664),0),IFERROR(FIND({"市"},A664),0),IFERROR(FIND({"区"},A664),0),IFERROR(FIND({"县"},A664),0))+1,FIND("街道",A664)-MAX(IFERROR(FIND({"省"},A664),0),IFERROR(FIND({"市"},A664),0),IFERROR(FIND({"区"},A664),0),IFERROR(FIND({"县"},A664),0))-1+2)</f>
        <v>江溪街道</v>
      </c>
      <c r="O664" s="4" t="str" cm="1">
        <f t="array" ref="O664">_xlfn.LET(_xlpm.fullText,A664,_xlpm.streetPos,FIND("街道",_xlpm.fullText)+2,_xlpm.prefixText,LEFT(_xlpm.fullText,_xlpm.streetPos-1),_xlpm.adminPos,MAX(IFERROR(FIND({"省","市","区","县"},_xlpm.prefixText),0)),IF(_xlpm.adminPos&gt;0,MID(_xlpm.prefixText,_xlpm.adminPos+1,_xlpm.streetPos-_xlpm.adminPos-3+2),LEFT(_xlpm.prefixText,FIND("街道",_xlpm.prefixText)-1+2)))</f>
        <v>江溪街道</v>
      </c>
      <c r="Q664" s="4" t="str" cm="1">
        <f t="array" ref="Q664">_xlfn.LET(_xlpm.fullText,A664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江溪街道</v>
      </c>
    </row>
    <row r="665" spans="1:17">
      <c r="A665" s="3" t="s">
        <v>312</v>
      </c>
      <c r="K665" s="4" t="str" cm="1">
        <f t="array" ref="K665">MID(A665,MAX(IFERROR(FIND({"省","市","区","县"},A665),0))+1,FIND("街道",A665)-MAX(IFERROR(FIND({"省","市","区","县"},A665),0))-1+2)</f>
        <v>广益街道</v>
      </c>
      <c r="M665" s="4" t="str" cm="1">
        <f t="array" ref="M665">MID(A665,MAX(IFERROR(FIND({"省"},A665),0),IFERROR(FIND({"市"},A665),0),IFERROR(FIND({"区"},A665),0),IFERROR(FIND({"县"},A665),0))+1,FIND("街道",A665)-MAX(IFERROR(FIND({"省"},A665),0),IFERROR(FIND({"市"},A665),0),IFERROR(FIND({"区"},A665),0),IFERROR(FIND({"县"},A665),0))-1+2)</f>
        <v>广益街道</v>
      </c>
      <c r="O665" s="4" t="str" cm="1">
        <f t="array" ref="O665">_xlfn.LET(_xlpm.fullText,A665,_xlpm.streetPos,FIND("街道",_xlpm.fullText)+2,_xlpm.prefixText,LEFT(_xlpm.fullText,_xlpm.streetPos-1),_xlpm.adminPos,MAX(IFERROR(FIND({"省","市","区","县"},_xlpm.prefixText),0)),IF(_xlpm.adminPos&gt;0,MID(_xlpm.prefixText,_xlpm.adminPos+1,_xlpm.streetPos-_xlpm.adminPos-3+2),LEFT(_xlpm.prefixText,FIND("街道",_xlpm.prefixText)-1+2)))</f>
        <v>广益街道</v>
      </c>
      <c r="Q665" s="4" t="str" cm="1">
        <f t="array" ref="Q665">_xlfn.LET(_xlpm.fullText,A665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广益街道</v>
      </c>
    </row>
    <row r="666" spans="1:17">
      <c r="A666" s="3" t="s">
        <v>313</v>
      </c>
      <c r="K666" s="4" t="str" cm="1">
        <f t="array" ref="K666">MID(A666,MAX(IFERROR(FIND({"省","市","区","县"},A666),0))+1,FIND("街道",A666)-MAX(IFERROR(FIND({"省","市","区","县"},A666),0))-1+2)</f>
        <v>东海街道</v>
      </c>
      <c r="M666" s="4" t="str" cm="1">
        <f t="array" ref="M666">MID(A666,MAX(IFERROR(FIND({"省"},A666),0),IFERROR(FIND({"市"},A666),0),IFERROR(FIND({"区"},A666),0),IFERROR(FIND({"县"},A666),0))+1,FIND("街道",A666)-MAX(IFERROR(FIND({"省"},A666),0),IFERROR(FIND({"市"},A666),0),IFERROR(FIND({"区"},A666),0),IFERROR(FIND({"县"},A666),0))-1+2)</f>
        <v>东海街道</v>
      </c>
      <c r="O666" s="4" t="str" cm="1">
        <f t="array" ref="O666">_xlfn.LET(_xlpm.fullText,A666,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6" s="4" t="str" cm="1">
        <f t="array" ref="Q666">_xlfn.LET(_xlpm.fullText,A666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7" spans="1:17">
      <c r="A667" s="3" t="s">
        <v>313</v>
      </c>
      <c r="K667" s="4" t="str" cm="1">
        <f t="array" ref="K667">MID(A667,MAX(IFERROR(FIND({"省","市","区","县"},A667),0))+1,FIND("街道",A667)-MAX(IFERROR(FIND({"省","市","区","县"},A667),0))-1+2)</f>
        <v>东海街道</v>
      </c>
      <c r="M667" s="4" t="str" cm="1">
        <f t="array" ref="M667">MID(A667,MAX(IFERROR(FIND({"省"},A667),0),IFERROR(FIND({"市"},A667),0),IFERROR(FIND({"区"},A667),0),IFERROR(FIND({"县"},A667),0))+1,FIND("街道",A667)-MAX(IFERROR(FIND({"省"},A667),0),IFERROR(FIND({"市"},A667),0),IFERROR(FIND({"区"},A667),0),IFERROR(FIND({"县"},A667),0))-1+2)</f>
        <v>东海街道</v>
      </c>
      <c r="O667" s="4" t="str" cm="1">
        <f t="array" ref="O667">_xlfn.LET(_xlpm.fullText,A667,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7" s="4" t="str" cm="1">
        <f t="array" ref="Q667">_xlfn.LET(_xlpm.fullText,A667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8" spans="1:17">
      <c r="A668" s="3" t="s">
        <v>313</v>
      </c>
      <c r="K668" s="4" t="str" cm="1">
        <f t="array" ref="K668">MID(A668,MAX(IFERROR(FIND({"省","市","区","县"},A668),0))+1,FIND("街道",A668)-MAX(IFERROR(FIND({"省","市","区","县"},A668),0))-1+2)</f>
        <v>东海街道</v>
      </c>
      <c r="M668" s="4" t="str" cm="1">
        <f t="array" ref="M668">MID(A668,MAX(IFERROR(FIND({"省"},A668),0),IFERROR(FIND({"市"},A668),0),IFERROR(FIND({"区"},A668),0),IFERROR(FIND({"县"},A668),0))+1,FIND("街道",A668)-MAX(IFERROR(FIND({"省"},A668),0),IFERROR(FIND({"市"},A668),0),IFERROR(FIND({"区"},A668),0),IFERROR(FIND({"县"},A668),0))-1+2)</f>
        <v>东海街道</v>
      </c>
      <c r="O668" s="4" t="str" cm="1">
        <f t="array" ref="O668">_xlfn.LET(_xlpm.fullText,A668,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8" s="4" t="str" cm="1">
        <f t="array" ref="Q668">_xlfn.LET(_xlpm.fullText,A668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69" spans="1:17">
      <c r="A669" s="3" t="s">
        <v>313</v>
      </c>
      <c r="K669" s="4" t="str" cm="1">
        <f t="array" ref="K669">MID(A669,MAX(IFERROR(FIND({"省","市","区","县"},A669),0))+1,FIND("街道",A669)-MAX(IFERROR(FIND({"省","市","区","县"},A669),0))-1+2)</f>
        <v>东海街道</v>
      </c>
      <c r="M669" s="4" t="str" cm="1">
        <f t="array" ref="M669">MID(A669,MAX(IFERROR(FIND({"省"},A669),0),IFERROR(FIND({"市"},A669),0),IFERROR(FIND({"区"},A669),0),IFERROR(FIND({"县"},A669),0))+1,FIND("街道",A669)-MAX(IFERROR(FIND({"省"},A669),0),IFERROR(FIND({"市"},A669),0),IFERROR(FIND({"区"},A669),0),IFERROR(FIND({"县"},A669),0))-1+2)</f>
        <v>东海街道</v>
      </c>
      <c r="O669" s="4" t="str" cm="1">
        <f t="array" ref="O669">_xlfn.LET(_xlpm.fullText,A669,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69" s="4" t="str" cm="1">
        <f t="array" ref="Q669">_xlfn.LET(_xlpm.fullText,A669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70" spans="1:17">
      <c r="A670" s="3" t="s">
        <v>313</v>
      </c>
      <c r="K670" s="4" t="str" cm="1">
        <f t="array" ref="K670">MID(A670,MAX(IFERROR(FIND({"省","市","区","县"},A670),0))+1,FIND("街道",A670)-MAX(IFERROR(FIND({"省","市","区","县"},A670),0))-1+2)</f>
        <v>东海街道</v>
      </c>
      <c r="M670" s="4" t="str" cm="1">
        <f t="array" ref="M670">MID(A670,MAX(IFERROR(FIND({"省"},A670),0),IFERROR(FIND({"市"},A670),0),IFERROR(FIND({"区"},A670),0),IFERROR(FIND({"县"},A670),0))+1,FIND("街道",A670)-MAX(IFERROR(FIND({"省"},A670),0),IFERROR(FIND({"市"},A670),0),IFERROR(FIND({"区"},A670),0),IFERROR(FIND({"县"},A670),0))-1+2)</f>
        <v>东海街道</v>
      </c>
      <c r="O670" s="4" t="str" cm="1">
        <f t="array" ref="O670">_xlfn.LET(_xlpm.fullText,A670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70" s="4" t="str" cm="1">
        <f t="array" ref="Q670">_xlfn.LET(_xlpm.fullText,A670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71" spans="1:17">
      <c r="A671" s="3" t="s">
        <v>313</v>
      </c>
      <c r="K671" s="4" t="str" cm="1">
        <f t="array" ref="K671">MID(A671,MAX(IFERROR(FIND({"省","市","区","县"},A671),0))+1,FIND("街道",A671)-MAX(IFERROR(FIND({"省","市","区","县"},A671),0))-1+2)</f>
        <v>东海街道</v>
      </c>
      <c r="M671" s="4" t="str" cm="1">
        <f t="array" ref="M671">MID(A671,MAX(IFERROR(FIND({"省"},A671),0),IFERROR(FIND({"市"},A671),0),IFERROR(FIND({"区"},A671),0),IFERROR(FIND({"县"},A671),0))+1,FIND("街道",A671)-MAX(IFERROR(FIND({"省"},A671),0),IFERROR(FIND({"市"},A671),0),IFERROR(FIND({"区"},A671),0),IFERROR(FIND({"县"},A671),0))-1+2)</f>
        <v>东海街道</v>
      </c>
      <c r="O671" s="4" t="str" cm="1">
        <f t="array" ref="O671">_xlfn.LET(_xlpm.fullText,A671,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71" s="4" t="str" cm="1">
        <f t="array" ref="Q671">_xlfn.LET(_xlpm.fullText,A671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72" spans="1:17">
      <c r="A672" s="3" t="s">
        <v>313</v>
      </c>
      <c r="K672" s="4" t="str" cm="1">
        <f t="array" ref="K672">MID(A672,MAX(IFERROR(FIND({"省","市","区","县"},A672),0))+1,FIND("街道",A672)-MAX(IFERROR(FIND({"省","市","区","县"},A672),0))-1+2)</f>
        <v>东海街道</v>
      </c>
      <c r="M672" s="4" t="str" cm="1">
        <f t="array" ref="M672">MID(A672,MAX(IFERROR(FIND({"省"},A672),0),IFERROR(FIND({"市"},A672),0),IFERROR(FIND({"区"},A672),0),IFERROR(FIND({"县"},A672),0))+1,FIND("街道",A672)-MAX(IFERROR(FIND({"省"},A672),0),IFERROR(FIND({"市"},A672),0),IFERROR(FIND({"区"},A672),0),IFERROR(FIND({"县"},A672),0))-1+2)</f>
        <v>东海街道</v>
      </c>
      <c r="O672" s="4" t="str" cm="1">
        <f t="array" ref="O672">_xlfn.LET(_xlpm.fullText,A672,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672" s="4" t="str" cm="1">
        <f t="array" ref="Q672">_xlfn.LET(_xlpm.fullText,A672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673" spans="1:17">
      <c r="A673" s="3" t="s">
        <v>314</v>
      </c>
      <c r="K673" s="4" t="str" cm="1">
        <f t="array" ref="K673">MID(A673,MAX(IFERROR(FIND({"省","市","区","县"},A673),0))+1,FIND("街道",A673)-MAX(IFERROR(FIND({"省","市","区","县"},A673),0))-1+2)</f>
        <v>三水街道</v>
      </c>
      <c r="M673" s="4" t="str" cm="1">
        <f t="array" ref="M673">MID(A673,MAX(IFERROR(FIND({"省"},A673),0),IFERROR(FIND({"市"},A673),0),IFERROR(FIND({"区"},A673),0),IFERROR(FIND({"县"},A673),0))+1,FIND("街道",A673)-MAX(IFERROR(FIND({"省"},A673),0),IFERROR(FIND({"市"},A673),0),IFERROR(FIND({"区"},A673),0),IFERROR(FIND({"县"},A673),0))-1+2)</f>
        <v>三水街道</v>
      </c>
      <c r="O673" s="4" t="str" cm="1">
        <f t="array" ref="O673">_xlfn.LET(_xlpm.fullText,A673,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673" s="4" t="str" cm="1">
        <f t="array" ref="Q673">_xlfn.LET(_xlpm.fullText,A673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674" spans="1:17">
      <c r="A674" s="3" t="s">
        <v>315</v>
      </c>
      <c r="K674" s="4" t="str" cm="1">
        <f t="array" ref="K674">MID(A674,MAX(IFERROR(FIND({"省","市","区","县"},A674),0))+1,FIND("街道",A674)-MAX(IFERROR(FIND({"省","市","区","县"},A674),0))-1+2)</f>
        <v>火花街道</v>
      </c>
      <c r="M674" s="4" t="str" cm="1">
        <f t="array" ref="M674">MID(A674,MAX(IFERROR(FIND({"省"},A674),0),IFERROR(FIND({"市"},A674),0),IFERROR(FIND({"区"},A674),0),IFERROR(FIND({"县"},A674),0))+1,FIND("街道",A674)-MAX(IFERROR(FIND({"省"},A674),0),IFERROR(FIND({"市"},A674),0),IFERROR(FIND({"区"},A674),0),IFERROR(FIND({"县"},A674),0))-1+2)</f>
        <v>火花街道</v>
      </c>
      <c r="O674" s="4" t="str" cm="1">
        <f t="array" ref="O674">_xlfn.LET(_xlpm.fullText,A674,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674" s="4" t="str" cm="1">
        <f t="array" ref="Q674">_xlfn.LET(_xlpm.fullText,A674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675" spans="1:17">
      <c r="A675" s="3" t="s">
        <v>315</v>
      </c>
      <c r="K675" s="4" t="str" cm="1">
        <f t="array" ref="K675">MID(A675,MAX(IFERROR(FIND({"省","市","区","县"},A675),0))+1,FIND("街道",A675)-MAX(IFERROR(FIND({"省","市","区","县"},A675),0))-1+2)</f>
        <v>火花街道</v>
      </c>
      <c r="M675" s="4" t="str" cm="1">
        <f t="array" ref="M675">MID(A675,MAX(IFERROR(FIND({"省"},A675),0),IFERROR(FIND({"市"},A675),0),IFERROR(FIND({"区"},A675),0),IFERROR(FIND({"县"},A675),0))+1,FIND("街道",A675)-MAX(IFERROR(FIND({"省"},A675),0),IFERROR(FIND({"市"},A675),0),IFERROR(FIND({"区"},A675),0),IFERROR(FIND({"县"},A675),0))-1+2)</f>
        <v>火花街道</v>
      </c>
      <c r="O675" s="4" t="str" cm="1">
        <f t="array" ref="O675">_xlfn.LET(_xlpm.fullText,A675,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675" s="4" t="str" cm="1">
        <f t="array" ref="Q675">_xlfn.LET(_xlpm.fullText,A675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676" ht="28.8" spans="1:17">
      <c r="A676" s="3" t="s">
        <v>111</v>
      </c>
      <c r="K676" s="4" t="str" cm="1">
        <f t="array" ref="K676">MID(A676,MAX(IFERROR(FIND({"省","市","区","县"},A676),0))+1,FIND("街道",A676)-MAX(IFERROR(FIND({"省","市","区","县"},A676),0))-1+2)</f>
        <v>金山桥街道</v>
      </c>
      <c r="M676" s="4" t="str" cm="1">
        <f t="array" ref="M676">MID(A676,MAX(IFERROR(FIND({"省"},A676),0),IFERROR(FIND({"市"},A676),0),IFERROR(FIND({"区"},A676),0),IFERROR(FIND({"县"},A676),0))+1,FIND("街道",A676)-MAX(IFERROR(FIND({"省"},A676),0),IFERROR(FIND({"市"},A676),0),IFERROR(FIND({"区"},A676),0),IFERROR(FIND({"县"},A676),0))-1+2)</f>
        <v>金山桥街道</v>
      </c>
      <c r="O676" s="4" t="str" cm="1">
        <f t="array" ref="O676">_xlfn.LET(_xlpm.fullText,A676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676" s="4" t="str" cm="1">
        <f t="array" ref="Q676">_xlfn.LET(_xlpm.fullText,A676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677" spans="1:17">
      <c r="A677" s="3" t="s">
        <v>316</v>
      </c>
      <c r="K677" s="4" t="str" cm="1">
        <f t="array" ref="K677">MID(A677,MAX(IFERROR(FIND({"省","市","区","县"},A677),0))+1,FIND("街道",A677)-MAX(IFERROR(FIND({"省","市","区","县"},A677),0))-1+2)</f>
        <v>马山街道</v>
      </c>
      <c r="M677" s="4" t="str" cm="1">
        <f t="array" ref="M677">MID(A677,MAX(IFERROR(FIND({"省"},A677),0),IFERROR(FIND({"市"},A677),0),IFERROR(FIND({"区"},A677),0),IFERROR(FIND({"县"},A677),0))+1,FIND("街道",A677)-MAX(IFERROR(FIND({"省"},A677),0),IFERROR(FIND({"市"},A677),0),IFERROR(FIND({"区"},A677),0),IFERROR(FIND({"县"},A677),0))-1+2)</f>
        <v>马山街道</v>
      </c>
      <c r="O677" s="4" t="str" cm="1">
        <f t="array" ref="O677">_xlfn.LET(_xlpm.fullText,A677,_xlpm.streetPos,FIND("街道",_xlpm.fullText)+2,_xlpm.prefixText,LEFT(_xlpm.fullText,_xlpm.streetPos-1),_xlpm.adminPos,MAX(IFERROR(FIND({"省","市","区","县"},_xlpm.prefixText),0)),IF(_xlpm.adminPos&gt;0,MID(_xlpm.prefixText,_xlpm.adminPos+1,_xlpm.streetPos-_xlpm.adminPos-3+2),LEFT(_xlpm.prefixText,FIND("街道",_xlpm.prefixText)-1+2)))</f>
        <v>马山街道</v>
      </c>
      <c r="Q677" s="4" t="str" cm="1">
        <f t="array" ref="Q677">_xlfn.LET(_xlpm.fullText,A677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马山街道</v>
      </c>
    </row>
    <row r="678" spans="1:17">
      <c r="A678" s="3" t="s">
        <v>315</v>
      </c>
      <c r="K678" s="4" t="str" cm="1">
        <f t="array" ref="K678">MID(A678,MAX(IFERROR(FIND({"省","市","区","县"},A678),0))+1,FIND("街道",A678)-MAX(IFERROR(FIND({"省","市","区","县"},A678),0))-1+2)</f>
        <v>火花街道</v>
      </c>
      <c r="M678" s="4" t="str" cm="1">
        <f t="array" ref="M678">MID(A678,MAX(IFERROR(FIND({"省"},A678),0),IFERROR(FIND({"市"},A678),0),IFERROR(FIND({"区"},A678),0),IFERROR(FIND({"县"},A678),0))+1,FIND("街道",A678)-MAX(IFERROR(FIND({"省"},A678),0),IFERROR(FIND({"市"},A678),0),IFERROR(FIND({"区"},A678),0),IFERROR(FIND({"县"},A678),0))-1+2)</f>
        <v>火花街道</v>
      </c>
      <c r="O678" s="4" t="str" cm="1">
        <f t="array" ref="O678">_xlfn.LET(_xlpm.fullText,A678,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678" s="4" t="str" cm="1">
        <f t="array" ref="Q678">_xlfn.LET(_xlpm.fullText,A678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679" spans="1:17">
      <c r="A679" s="3" t="s">
        <v>317</v>
      </c>
      <c r="K679" s="4" t="str" cm="1">
        <f t="array" ref="K679">MID(A679,MAX(IFERROR(FIND({"省","市","区","县"},A679),0))+1,FIND("街道",A679)-MAX(IFERROR(FIND({"省","市","区","县"},A679),0))-1+2)</f>
        <v>回河街道</v>
      </c>
      <c r="M679" s="4" t="str" cm="1">
        <f t="array" ref="M679">MID(A679,MAX(IFERROR(FIND({"省"},A679),0),IFERROR(FIND({"市"},A679),0),IFERROR(FIND({"区"},A679),0),IFERROR(FIND({"县"},A679),0))+1,FIND("街道",A679)-MAX(IFERROR(FIND({"省"},A679),0),IFERROR(FIND({"市"},A679),0),IFERROR(FIND({"区"},A679),0),IFERROR(FIND({"县"},A679),0))-1+2)</f>
        <v>回河街道</v>
      </c>
      <c r="O679" s="4" t="str" cm="1">
        <f t="array" ref="O679">_xlfn.LET(_xlpm.fullText,A679,_xlpm.streetPos,FIND("街道",_xlpm.fullText)+2,_xlpm.prefixText,LEFT(_xlpm.fullText,_xlpm.streetPos-1),_xlpm.adminPos,MAX(IFERROR(FIND({"省","市","区","县"},_xlpm.prefixText),0)),IF(_xlpm.adminPos&gt;0,MID(_xlpm.prefixText,_xlpm.adminPos+1,_xlpm.streetPos-_xlpm.adminPos-3+2),LEFT(_xlpm.prefixText,FIND("街道",_xlpm.prefixText)-1+2)))</f>
        <v>回河街道</v>
      </c>
      <c r="Q679" s="4" t="str" cm="1">
        <f t="array" ref="Q679">_xlfn.LET(_xlpm.fullText,A679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回河街道</v>
      </c>
    </row>
    <row r="680" spans="1:17">
      <c r="A680" s="3" t="s">
        <v>315</v>
      </c>
      <c r="K680" s="4" t="str" cm="1">
        <f t="array" ref="K680">MID(A680,MAX(IFERROR(FIND({"省","市","区","县"},A680),0))+1,FIND("街道",A680)-MAX(IFERROR(FIND({"省","市","区","县"},A680),0))-1+2)</f>
        <v>火花街道</v>
      </c>
      <c r="M680" s="4" t="str" cm="1">
        <f t="array" ref="M680">MID(A680,MAX(IFERROR(FIND({"省"},A680),0),IFERROR(FIND({"市"},A680),0),IFERROR(FIND({"区"},A680),0),IFERROR(FIND({"县"},A680),0))+1,FIND("街道",A680)-MAX(IFERROR(FIND({"省"},A680),0),IFERROR(FIND({"市"},A680),0),IFERROR(FIND({"区"},A680),0),IFERROR(FIND({"县"},A680),0))-1+2)</f>
        <v>火花街道</v>
      </c>
      <c r="O680" s="4" t="str" cm="1">
        <f t="array" ref="O680">_xlfn.LET(_xlpm.fullText,A680,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680" s="4" t="str" cm="1">
        <f t="array" ref="Q680">_xlfn.LET(_xlpm.fullText,A680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681" spans="1:17">
      <c r="A681" s="3" t="s">
        <v>315</v>
      </c>
      <c r="K681" s="4" t="str" cm="1">
        <f t="array" ref="K681">MID(A681,MAX(IFERROR(FIND({"省","市","区","县"},A681),0))+1,FIND("街道",A681)-MAX(IFERROR(FIND({"省","市","区","县"},A681),0))-1+2)</f>
        <v>火花街道</v>
      </c>
      <c r="M681" s="4" t="str" cm="1">
        <f t="array" ref="M681">MID(A681,MAX(IFERROR(FIND({"省"},A681),0),IFERROR(FIND({"市"},A681),0),IFERROR(FIND({"区"},A681),0),IFERROR(FIND({"县"},A681),0))+1,FIND("街道",A681)-MAX(IFERROR(FIND({"省"},A681),0),IFERROR(FIND({"市"},A681),0),IFERROR(FIND({"区"},A681),0),IFERROR(FIND({"县"},A681),0))-1+2)</f>
        <v>火花街道</v>
      </c>
      <c r="O681" s="4" t="str" cm="1">
        <f t="array" ref="O681">_xlfn.LET(_xlpm.fullText,A681,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681" s="4" t="str" cm="1">
        <f t="array" ref="Q681">_xlfn.LET(_xlpm.fullText,A681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682" spans="1:17">
      <c r="A682" s="3" t="s">
        <v>318</v>
      </c>
      <c r="K682" s="4" t="str" cm="1">
        <f t="array" ref="K682">MID(A682,MAX(IFERROR(FIND({"省","市","区","县"},A682),0))+1,FIND("街道",A682)-MAX(IFERROR(FIND({"省","市","区","县"},A682),0))-1+2)</f>
        <v>郭巷街道</v>
      </c>
      <c r="M682" s="4" t="str" cm="1">
        <f t="array" ref="M682">MID(A682,MAX(IFERROR(FIND({"省"},A682),0),IFERROR(FIND({"市"},A682),0),IFERROR(FIND({"区"},A682),0),IFERROR(FIND({"县"},A682),0))+1,FIND("街道",A682)-MAX(IFERROR(FIND({"省"},A682),0),IFERROR(FIND({"市"},A682),0),IFERROR(FIND({"区"},A682),0),IFERROR(FIND({"县"},A682),0))-1+2)</f>
        <v>郭巷街道</v>
      </c>
      <c r="O682" s="4" t="str" cm="1">
        <f t="array" ref="O682">_xlfn.LET(_xlpm.fullText,A682,_xlpm.streetPos,FIND("街道",_xlpm.fullText)+2,_xlpm.prefixText,LEFT(_xlpm.fullText,_xlpm.streetPos-1),_xlpm.adminPos,MAX(IFERROR(FIND({"省","市","区","县"},_xlpm.prefixText),0)),IF(_xlpm.adminPos&gt;0,MID(_xlpm.prefixText,_xlpm.adminPos+1,_xlpm.streetPos-_xlpm.adminPos-3+2),LEFT(_xlpm.prefixText,FIND("街道",_xlpm.prefixText)-1+2)))</f>
        <v>郭巷街道</v>
      </c>
      <c r="Q682" s="4" t="str" cm="1">
        <f t="array" ref="Q682">_xlfn.LET(_xlpm.fullText,A682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郭巷街道</v>
      </c>
    </row>
    <row r="683" spans="1:17">
      <c r="A683" s="3" t="s">
        <v>319</v>
      </c>
      <c r="K683" s="4" t="str" cm="1">
        <f t="array" ref="K683">MID(A683,MAX(IFERROR(FIND({"省","市","区","县"},A683),0))+1,FIND("街道",A683)-MAX(IFERROR(FIND({"省","市","区","县"},A683),0))-1+2)</f>
        <v>沥海街道</v>
      </c>
      <c r="M683" s="4" t="str" cm="1">
        <f t="array" ref="M683">MID(A683,MAX(IFERROR(FIND({"省"},A683),0),IFERROR(FIND({"市"},A683),0),IFERROR(FIND({"区"},A683),0),IFERROR(FIND({"县"},A683),0))+1,FIND("街道",A683)-MAX(IFERROR(FIND({"省"},A683),0),IFERROR(FIND({"市"},A683),0),IFERROR(FIND({"区"},A683),0),IFERROR(FIND({"县"},A683),0))-1+2)</f>
        <v>沥海街道</v>
      </c>
      <c r="O683" s="4" t="str" cm="1">
        <f t="array" ref="O683">_xlfn.LET(_xlpm.fullText,A683,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3" s="4" t="str" cm="1">
        <f t="array" ref="Q683">_xlfn.LET(_xlpm.fullText,A683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84" spans="1:17">
      <c r="A684" s="3" t="s">
        <v>320</v>
      </c>
      <c r="K684" s="4" t="str" cm="1">
        <f t="array" ref="K684">MID(A684,MAX(IFERROR(FIND({"省","市","区","县"},A684),0))+1,FIND("街道",A684)-MAX(IFERROR(FIND({"省","市","区","县"},A684),0))-1+2)</f>
        <v>沥海街道</v>
      </c>
      <c r="M684" s="4" t="str" cm="1">
        <f t="array" ref="M684">MID(A684,MAX(IFERROR(FIND({"省"},A684),0),IFERROR(FIND({"市"},A684),0),IFERROR(FIND({"区"},A684),0),IFERROR(FIND({"县"},A684),0))+1,FIND("街道",A684)-MAX(IFERROR(FIND({"省"},A684),0),IFERROR(FIND({"市"},A684),0),IFERROR(FIND({"区"},A684),0),IFERROR(FIND({"县"},A684),0))-1+2)</f>
        <v>沥海街道</v>
      </c>
      <c r="O684" s="4" t="str" cm="1">
        <f t="array" ref="O684">_xlfn.LET(_xlpm.fullText,A684,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4" s="4" t="str" cm="1">
        <f t="array" ref="Q684">_xlfn.LET(_xlpm.fullText,A684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85" spans="1:17">
      <c r="A685" s="3" t="s">
        <v>320</v>
      </c>
      <c r="K685" s="4" t="str" cm="1">
        <f t="array" ref="K685">MID(A685,MAX(IFERROR(FIND({"省","市","区","县"},A685),0))+1,FIND("街道",A685)-MAX(IFERROR(FIND({"省","市","区","县"},A685),0))-1+2)</f>
        <v>沥海街道</v>
      </c>
      <c r="M685" s="4" t="str" cm="1">
        <f t="array" ref="M685">MID(A685,MAX(IFERROR(FIND({"省"},A685),0),IFERROR(FIND({"市"},A685),0),IFERROR(FIND({"区"},A685),0),IFERROR(FIND({"县"},A685),0))+1,FIND("街道",A685)-MAX(IFERROR(FIND({"省"},A685),0),IFERROR(FIND({"市"},A685),0),IFERROR(FIND({"区"},A685),0),IFERROR(FIND({"县"},A685),0))-1+2)</f>
        <v>沥海街道</v>
      </c>
      <c r="O685" s="4" t="str" cm="1">
        <f t="array" ref="O685">_xlfn.LET(_xlpm.fullText,A685,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5" s="4" t="str" cm="1">
        <f t="array" ref="Q685">_xlfn.LET(_xlpm.fullText,A685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86" spans="1:17">
      <c r="A686" s="3" t="s">
        <v>320</v>
      </c>
      <c r="K686" s="4" t="str" cm="1">
        <f t="array" ref="K686">MID(A686,MAX(IFERROR(FIND({"省","市","区","县"},A686),0))+1,FIND("街道",A686)-MAX(IFERROR(FIND({"省","市","区","县"},A686),0))-1+2)</f>
        <v>沥海街道</v>
      </c>
      <c r="M686" s="4" t="str" cm="1">
        <f t="array" ref="M686">MID(A686,MAX(IFERROR(FIND({"省"},A686),0),IFERROR(FIND({"市"},A686),0),IFERROR(FIND({"区"},A686),0),IFERROR(FIND({"县"},A686),0))+1,FIND("街道",A686)-MAX(IFERROR(FIND({"省"},A686),0),IFERROR(FIND({"市"},A686),0),IFERROR(FIND({"区"},A686),0),IFERROR(FIND({"县"},A686),0))-1+2)</f>
        <v>沥海街道</v>
      </c>
      <c r="O686" s="4" t="str" cm="1">
        <f t="array" ref="O686">_xlfn.LET(_xlpm.fullText,A686,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6" s="4" t="str" cm="1">
        <f t="array" ref="Q686">_xlfn.LET(_xlpm.fullText,A686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87" spans="1:17">
      <c r="A687" s="3" t="s">
        <v>320</v>
      </c>
      <c r="K687" s="4" t="str" cm="1">
        <f t="array" ref="K687">MID(A687,MAX(IFERROR(FIND({"省","市","区","县"},A687),0))+1,FIND("街道",A687)-MAX(IFERROR(FIND({"省","市","区","县"},A687),0))-1+2)</f>
        <v>沥海街道</v>
      </c>
      <c r="M687" s="4" t="str" cm="1">
        <f t="array" ref="M687">MID(A687,MAX(IFERROR(FIND({"省"},A687),0),IFERROR(FIND({"市"},A687),0),IFERROR(FIND({"区"},A687),0),IFERROR(FIND({"县"},A687),0))+1,FIND("街道",A687)-MAX(IFERROR(FIND({"省"},A687),0),IFERROR(FIND({"市"},A687),0),IFERROR(FIND({"区"},A687),0),IFERROR(FIND({"县"},A687),0))-1+2)</f>
        <v>沥海街道</v>
      </c>
      <c r="O687" s="4" t="str" cm="1">
        <f t="array" ref="O687">_xlfn.LET(_xlpm.fullText,A687,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7" s="4" t="str" cm="1">
        <f t="array" ref="Q687">_xlfn.LET(_xlpm.fullText,A687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88" spans="1:17">
      <c r="A688" s="3" t="s">
        <v>320</v>
      </c>
      <c r="K688" s="4" t="str" cm="1">
        <f t="array" ref="K688">MID(A688,MAX(IFERROR(FIND({"省","市","区","县"},A688),0))+1,FIND("街道",A688)-MAX(IFERROR(FIND({"省","市","区","县"},A688),0))-1+2)</f>
        <v>沥海街道</v>
      </c>
      <c r="M688" s="4" t="str" cm="1">
        <f t="array" ref="M688">MID(A688,MAX(IFERROR(FIND({"省"},A688),0),IFERROR(FIND({"市"},A688),0),IFERROR(FIND({"区"},A688),0),IFERROR(FIND({"县"},A688),0))+1,FIND("街道",A688)-MAX(IFERROR(FIND({"省"},A688),0),IFERROR(FIND({"市"},A688),0),IFERROR(FIND({"区"},A688),0),IFERROR(FIND({"县"},A688),0))-1+2)</f>
        <v>沥海街道</v>
      </c>
      <c r="O688" s="4" t="str" cm="1">
        <f t="array" ref="O688">_xlfn.LET(_xlpm.fullText,A688,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8" s="4" t="str" cm="1">
        <f t="array" ref="Q688">_xlfn.LET(_xlpm.fullText,A688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89" spans="1:17">
      <c r="A689" s="3" t="s">
        <v>320</v>
      </c>
      <c r="K689" s="4" t="str" cm="1">
        <f t="array" ref="K689">MID(A689,MAX(IFERROR(FIND({"省","市","区","县"},A689),0))+1,FIND("街道",A689)-MAX(IFERROR(FIND({"省","市","区","县"},A689),0))-1+2)</f>
        <v>沥海街道</v>
      </c>
      <c r="M689" s="4" t="str" cm="1">
        <f t="array" ref="M689">MID(A689,MAX(IFERROR(FIND({"省"},A689),0),IFERROR(FIND({"市"},A689),0),IFERROR(FIND({"区"},A689),0),IFERROR(FIND({"县"},A689),0))+1,FIND("街道",A689)-MAX(IFERROR(FIND({"省"},A689),0),IFERROR(FIND({"市"},A689),0),IFERROR(FIND({"区"},A689),0),IFERROR(FIND({"县"},A689),0))-1+2)</f>
        <v>沥海街道</v>
      </c>
      <c r="O689" s="4" t="str" cm="1">
        <f t="array" ref="O689">_xlfn.LET(_xlpm.fullText,A689,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89" s="4" t="str" cm="1">
        <f t="array" ref="Q689">_xlfn.LET(_xlpm.fullText,A689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0" spans="1:17">
      <c r="A690" s="3" t="s">
        <v>321</v>
      </c>
      <c r="K690" s="4" t="str" cm="1">
        <f t="array" ref="K690">MID(A690,MAX(IFERROR(FIND({"省","市","区","县"},A690),0))+1,FIND("街道",A690)-MAX(IFERROR(FIND({"省","市","区","县"},A690),0))-1+2)</f>
        <v>沥海街道</v>
      </c>
      <c r="M690" s="4" t="str" cm="1">
        <f t="array" ref="M690">MID(A690,MAX(IFERROR(FIND({"省"},A690),0),IFERROR(FIND({"市"},A690),0),IFERROR(FIND({"区"},A690),0),IFERROR(FIND({"县"},A690),0))+1,FIND("街道",A690)-MAX(IFERROR(FIND({"省"},A690),0),IFERROR(FIND({"市"},A690),0),IFERROR(FIND({"区"},A690),0),IFERROR(FIND({"县"},A690),0))-1+2)</f>
        <v>沥海街道</v>
      </c>
      <c r="O690" s="4" t="str" cm="1">
        <f t="array" ref="O690">_xlfn.LET(_xlpm.fullText,A690,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0" s="4" t="str" cm="1">
        <f t="array" ref="Q690">_xlfn.LET(_xlpm.fullText,A690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1" spans="1:17">
      <c r="A691" s="3" t="s">
        <v>322</v>
      </c>
      <c r="K691" s="4" t="str" cm="1">
        <f t="array" ref="K691">MID(A691,MAX(IFERROR(FIND({"省","市","区","县"},A691),0))+1,FIND("街道",A691)-MAX(IFERROR(FIND({"省","市","区","县"},A691),0))-1+2)</f>
        <v>沥海街道</v>
      </c>
      <c r="M691" s="4" t="str" cm="1">
        <f t="array" ref="M691">MID(A691,MAX(IFERROR(FIND({"省"},A691),0),IFERROR(FIND({"市"},A691),0),IFERROR(FIND({"区"},A691),0),IFERROR(FIND({"县"},A691),0))+1,FIND("街道",A691)-MAX(IFERROR(FIND({"省"},A691),0),IFERROR(FIND({"市"},A691),0),IFERROR(FIND({"区"},A691),0),IFERROR(FIND({"县"},A691),0))-1+2)</f>
        <v>沥海街道</v>
      </c>
      <c r="O691" s="4" t="str" cm="1">
        <f t="array" ref="O691">_xlfn.LET(_xlpm.fullText,A691,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1" s="4" t="str" cm="1">
        <f t="array" ref="Q691">_xlfn.LET(_xlpm.fullText,A691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2" spans="1:17">
      <c r="A692" s="3" t="s">
        <v>320</v>
      </c>
      <c r="K692" s="4" t="str" cm="1">
        <f t="array" ref="K692">MID(A692,MAX(IFERROR(FIND({"省","市","区","县"},A692),0))+1,FIND("街道",A692)-MAX(IFERROR(FIND({"省","市","区","县"},A692),0))-1+2)</f>
        <v>沥海街道</v>
      </c>
      <c r="M692" s="4" t="str" cm="1">
        <f t="array" ref="M692">MID(A692,MAX(IFERROR(FIND({"省"},A692),0),IFERROR(FIND({"市"},A692),0),IFERROR(FIND({"区"},A692),0),IFERROR(FIND({"县"},A692),0))+1,FIND("街道",A692)-MAX(IFERROR(FIND({"省"},A692),0),IFERROR(FIND({"市"},A692),0),IFERROR(FIND({"区"},A692),0),IFERROR(FIND({"县"},A692),0))-1+2)</f>
        <v>沥海街道</v>
      </c>
      <c r="O692" s="4" t="str" cm="1">
        <f t="array" ref="O692">_xlfn.LET(_xlpm.fullText,A692,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2" s="4" t="str" cm="1">
        <f t="array" ref="Q692">_xlfn.LET(_xlpm.fullText,A692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3" spans="1:17">
      <c r="A693" s="3" t="s">
        <v>320</v>
      </c>
      <c r="K693" s="4" t="str" cm="1">
        <f t="array" ref="K693">MID(A693,MAX(IFERROR(FIND({"省","市","区","县"},A693),0))+1,FIND("街道",A693)-MAX(IFERROR(FIND({"省","市","区","县"},A693),0))-1+2)</f>
        <v>沥海街道</v>
      </c>
      <c r="M693" s="4" t="str" cm="1">
        <f t="array" ref="M693">MID(A693,MAX(IFERROR(FIND({"省"},A693),0),IFERROR(FIND({"市"},A693),0),IFERROR(FIND({"区"},A693),0),IFERROR(FIND({"县"},A693),0))+1,FIND("街道",A693)-MAX(IFERROR(FIND({"省"},A693),0),IFERROR(FIND({"市"},A693),0),IFERROR(FIND({"区"},A693),0),IFERROR(FIND({"县"},A693),0))-1+2)</f>
        <v>沥海街道</v>
      </c>
      <c r="O693" s="4" t="str" cm="1">
        <f t="array" ref="O693">_xlfn.LET(_xlpm.fullText,A693,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3" s="4" t="str" cm="1">
        <f t="array" ref="Q693">_xlfn.LET(_xlpm.fullText,A693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4" spans="1:17">
      <c r="A694" s="3" t="s">
        <v>320</v>
      </c>
      <c r="K694" s="4" t="str" cm="1">
        <f t="array" ref="K694">MID(A694,MAX(IFERROR(FIND({"省","市","区","县"},A694),0))+1,FIND("街道",A694)-MAX(IFERROR(FIND({"省","市","区","县"},A694),0))-1+2)</f>
        <v>沥海街道</v>
      </c>
      <c r="M694" s="4" t="str" cm="1">
        <f t="array" ref="M694">MID(A694,MAX(IFERROR(FIND({"省"},A694),0),IFERROR(FIND({"市"},A694),0),IFERROR(FIND({"区"},A694),0),IFERROR(FIND({"县"},A694),0))+1,FIND("街道",A694)-MAX(IFERROR(FIND({"省"},A694),0),IFERROR(FIND({"市"},A694),0),IFERROR(FIND({"区"},A694),0),IFERROR(FIND({"县"},A694),0))-1+2)</f>
        <v>沥海街道</v>
      </c>
      <c r="O694" s="4" t="str" cm="1">
        <f t="array" ref="O694">_xlfn.LET(_xlpm.fullText,A694,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4" s="4" t="str" cm="1">
        <f t="array" ref="Q694">_xlfn.LET(_xlpm.fullText,A694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5" spans="1:17">
      <c r="A695" s="3" t="s">
        <v>320</v>
      </c>
      <c r="K695" s="4" t="str" cm="1">
        <f t="array" ref="K695">MID(A695,MAX(IFERROR(FIND({"省","市","区","县"},A695),0))+1,FIND("街道",A695)-MAX(IFERROR(FIND({"省","市","区","县"},A695),0))-1+2)</f>
        <v>沥海街道</v>
      </c>
      <c r="M695" s="4" t="str" cm="1">
        <f t="array" ref="M695">MID(A695,MAX(IFERROR(FIND({"省"},A695),0),IFERROR(FIND({"市"},A695),0),IFERROR(FIND({"区"},A695),0),IFERROR(FIND({"县"},A695),0))+1,FIND("街道",A695)-MAX(IFERROR(FIND({"省"},A695),0),IFERROR(FIND({"市"},A695),0),IFERROR(FIND({"区"},A695),0),IFERROR(FIND({"县"},A695),0))-1+2)</f>
        <v>沥海街道</v>
      </c>
      <c r="O695" s="4" t="str" cm="1">
        <f t="array" ref="O695">_xlfn.LET(_xlpm.fullText,A695,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5" s="4" t="str" cm="1">
        <f t="array" ref="Q695">_xlfn.LET(_xlpm.fullText,A695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6" spans="1:17">
      <c r="A696" s="3" t="s">
        <v>320</v>
      </c>
      <c r="K696" s="4" t="str" cm="1">
        <f t="array" ref="K696">MID(A696,MAX(IFERROR(FIND({"省","市","区","县"},A696),0))+1,FIND("街道",A696)-MAX(IFERROR(FIND({"省","市","区","县"},A696),0))-1+2)</f>
        <v>沥海街道</v>
      </c>
      <c r="M696" s="4" t="str" cm="1">
        <f t="array" ref="M696">MID(A696,MAX(IFERROR(FIND({"省"},A696),0),IFERROR(FIND({"市"},A696),0),IFERROR(FIND({"区"},A696),0),IFERROR(FIND({"县"},A696),0))+1,FIND("街道",A696)-MAX(IFERROR(FIND({"省"},A696),0),IFERROR(FIND({"市"},A696),0),IFERROR(FIND({"区"},A696),0),IFERROR(FIND({"县"},A696),0))-1+2)</f>
        <v>沥海街道</v>
      </c>
      <c r="O696" s="4" t="str" cm="1">
        <f t="array" ref="O696">_xlfn.LET(_xlpm.fullText,A696,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6" s="4" t="str" cm="1">
        <f t="array" ref="Q696">_xlfn.LET(_xlpm.fullText,A696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7" spans="1:17">
      <c r="A697" s="3" t="s">
        <v>320</v>
      </c>
      <c r="K697" s="4" t="str" cm="1">
        <f t="array" ref="K697">MID(A697,MAX(IFERROR(FIND({"省","市","区","县"},A697),0))+1,FIND("街道",A697)-MAX(IFERROR(FIND({"省","市","区","县"},A697),0))-1+2)</f>
        <v>沥海街道</v>
      </c>
      <c r="M697" s="4" t="str" cm="1">
        <f t="array" ref="M697">MID(A697,MAX(IFERROR(FIND({"省"},A697),0),IFERROR(FIND({"市"},A697),0),IFERROR(FIND({"区"},A697),0),IFERROR(FIND({"县"},A697),0))+1,FIND("街道",A697)-MAX(IFERROR(FIND({"省"},A697),0),IFERROR(FIND({"市"},A697),0),IFERROR(FIND({"区"},A697),0),IFERROR(FIND({"县"},A697),0))-1+2)</f>
        <v>沥海街道</v>
      </c>
      <c r="O697" s="4" t="str" cm="1">
        <f t="array" ref="O697">_xlfn.LET(_xlpm.fullText,A697,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7" s="4" t="str" cm="1">
        <f t="array" ref="Q697">_xlfn.LET(_xlpm.fullText,A697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8" spans="1:17">
      <c r="A698" s="3" t="s">
        <v>320</v>
      </c>
      <c r="K698" s="4" t="str" cm="1">
        <f t="array" ref="K698">MID(A698,MAX(IFERROR(FIND({"省","市","区","县"},A698),0))+1,FIND("街道",A698)-MAX(IFERROR(FIND({"省","市","区","县"},A698),0))-1+2)</f>
        <v>沥海街道</v>
      </c>
      <c r="M698" s="4" t="str" cm="1">
        <f t="array" ref="M698">MID(A698,MAX(IFERROR(FIND({"省"},A698),0),IFERROR(FIND({"市"},A698),0),IFERROR(FIND({"区"},A698),0),IFERROR(FIND({"县"},A698),0))+1,FIND("街道",A698)-MAX(IFERROR(FIND({"省"},A698),0),IFERROR(FIND({"市"},A698),0),IFERROR(FIND({"区"},A698),0),IFERROR(FIND({"县"},A698),0))-1+2)</f>
        <v>沥海街道</v>
      </c>
      <c r="O698" s="4" t="str" cm="1">
        <f t="array" ref="O698">_xlfn.LET(_xlpm.fullText,A698,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8" s="4" t="str" cm="1">
        <f t="array" ref="Q698">_xlfn.LET(_xlpm.fullText,A698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699" spans="1:17">
      <c r="A699" s="3" t="s">
        <v>320</v>
      </c>
      <c r="K699" s="4" t="str" cm="1">
        <f t="array" ref="K699">MID(A699,MAX(IFERROR(FIND({"省","市","区","县"},A699),0))+1,FIND("街道",A699)-MAX(IFERROR(FIND({"省","市","区","县"},A699),0))-1+2)</f>
        <v>沥海街道</v>
      </c>
      <c r="M699" s="4" t="str" cm="1">
        <f t="array" ref="M699">MID(A699,MAX(IFERROR(FIND({"省"},A699),0),IFERROR(FIND({"市"},A699),0),IFERROR(FIND({"区"},A699),0),IFERROR(FIND({"县"},A699),0))+1,FIND("街道",A699)-MAX(IFERROR(FIND({"省"},A699),0),IFERROR(FIND({"市"},A699),0),IFERROR(FIND({"区"},A699),0),IFERROR(FIND({"县"},A699),0))-1+2)</f>
        <v>沥海街道</v>
      </c>
      <c r="O699" s="4" t="str" cm="1">
        <f t="array" ref="O699">_xlfn.LET(_xlpm.fullText,A699,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699" s="4" t="str" cm="1">
        <f t="array" ref="Q699">_xlfn.LET(_xlpm.fullText,A699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0" spans="1:17">
      <c r="A700" s="3" t="s">
        <v>320</v>
      </c>
      <c r="K700" s="4" t="str" cm="1">
        <f t="array" ref="K700">MID(A700,MAX(IFERROR(FIND({"省","市","区","县"},A700),0))+1,FIND("街道",A700)-MAX(IFERROR(FIND({"省","市","区","县"},A700),0))-1+2)</f>
        <v>沥海街道</v>
      </c>
      <c r="M700" s="4" t="str" cm="1">
        <f t="array" ref="M700">MID(A700,MAX(IFERROR(FIND({"省"},A700),0),IFERROR(FIND({"市"},A700),0),IFERROR(FIND({"区"},A700),0),IFERROR(FIND({"县"},A700),0))+1,FIND("街道",A700)-MAX(IFERROR(FIND({"省"},A700),0),IFERROR(FIND({"市"},A700),0),IFERROR(FIND({"区"},A700),0),IFERROR(FIND({"县"},A700),0))-1+2)</f>
        <v>沥海街道</v>
      </c>
      <c r="O700" s="4" t="str" cm="1">
        <f t="array" ref="O700">_xlfn.LET(_xlpm.fullText,A700,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0" s="4" t="str" cm="1">
        <f t="array" ref="Q700">_xlfn.LET(_xlpm.fullText,A700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1" spans="1:17">
      <c r="A701" s="3" t="s">
        <v>320</v>
      </c>
      <c r="K701" s="4" t="str" cm="1">
        <f t="array" ref="K701">MID(A701,MAX(IFERROR(FIND({"省","市","区","县"},A701),0))+1,FIND("街道",A701)-MAX(IFERROR(FIND({"省","市","区","县"},A701),0))-1+2)</f>
        <v>沥海街道</v>
      </c>
      <c r="M701" s="4" t="str" cm="1">
        <f t="array" ref="M701">MID(A701,MAX(IFERROR(FIND({"省"},A701),0),IFERROR(FIND({"市"},A701),0),IFERROR(FIND({"区"},A701),0),IFERROR(FIND({"县"},A701),0))+1,FIND("街道",A701)-MAX(IFERROR(FIND({"省"},A701),0),IFERROR(FIND({"市"},A701),0),IFERROR(FIND({"区"},A701),0),IFERROR(FIND({"县"},A701),0))-1+2)</f>
        <v>沥海街道</v>
      </c>
      <c r="O701" s="4" t="str" cm="1">
        <f t="array" ref="O701">_xlfn.LET(_xlpm.fullText,A701,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1" s="4" t="str" cm="1">
        <f t="array" ref="Q701">_xlfn.LET(_xlpm.fullText,A701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2" spans="1:17">
      <c r="A702" s="3" t="s">
        <v>323</v>
      </c>
      <c r="K702" s="4" t="str" cm="1">
        <f t="array" ref="K702">MID(A702,MAX(IFERROR(FIND({"省","市","区","县"},A702),0))+1,FIND("街道",A702)-MAX(IFERROR(FIND({"省","市","区","县"},A702),0))-1+2)</f>
        <v>沥海街道</v>
      </c>
      <c r="M702" s="4" t="str" cm="1">
        <f t="array" ref="M702">MID(A702,MAX(IFERROR(FIND({"省"},A702),0),IFERROR(FIND({"市"},A702),0),IFERROR(FIND({"区"},A702),0),IFERROR(FIND({"县"},A702),0))+1,FIND("街道",A702)-MAX(IFERROR(FIND({"省"},A702),0),IFERROR(FIND({"市"},A702),0),IFERROR(FIND({"区"},A702),0),IFERROR(FIND({"县"},A702),0))-1+2)</f>
        <v>沥海街道</v>
      </c>
      <c r="O702" s="4" t="str" cm="1">
        <f t="array" ref="O702">_xlfn.LET(_xlpm.fullText,A702,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2" s="4" t="str" cm="1">
        <f t="array" ref="Q702">_xlfn.LET(_xlpm.fullText,A702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3" spans="1:17">
      <c r="A703" s="3" t="s">
        <v>323</v>
      </c>
      <c r="K703" s="4" t="str" cm="1">
        <f t="array" ref="K703">MID(A703,MAX(IFERROR(FIND({"省","市","区","县"},A703),0))+1,FIND("街道",A703)-MAX(IFERROR(FIND({"省","市","区","县"},A703),0))-1+2)</f>
        <v>沥海街道</v>
      </c>
      <c r="M703" s="4" t="str" cm="1">
        <f t="array" ref="M703">MID(A703,MAX(IFERROR(FIND({"省"},A703),0),IFERROR(FIND({"市"},A703),0),IFERROR(FIND({"区"},A703),0),IFERROR(FIND({"县"},A703),0))+1,FIND("街道",A703)-MAX(IFERROR(FIND({"省"},A703),0),IFERROR(FIND({"市"},A703),0),IFERROR(FIND({"区"},A703),0),IFERROR(FIND({"县"},A703),0))-1+2)</f>
        <v>沥海街道</v>
      </c>
      <c r="O703" s="4" t="str" cm="1">
        <f t="array" ref="O703">_xlfn.LET(_xlpm.fullText,A703,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3" s="4" t="str" cm="1">
        <f t="array" ref="Q703">_xlfn.LET(_xlpm.fullText,A703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4" spans="1:17">
      <c r="A704" s="3" t="s">
        <v>323</v>
      </c>
      <c r="K704" s="4" t="str" cm="1">
        <f t="array" ref="K704">MID(A704,MAX(IFERROR(FIND({"省","市","区","县"},A704),0))+1,FIND("街道",A704)-MAX(IFERROR(FIND({"省","市","区","县"},A704),0))-1+2)</f>
        <v>沥海街道</v>
      </c>
      <c r="M704" s="4" t="str" cm="1">
        <f t="array" ref="M704">MID(A704,MAX(IFERROR(FIND({"省"},A704),0),IFERROR(FIND({"市"},A704),0),IFERROR(FIND({"区"},A704),0),IFERROR(FIND({"县"},A704),0))+1,FIND("街道",A704)-MAX(IFERROR(FIND({"省"},A704),0),IFERROR(FIND({"市"},A704),0),IFERROR(FIND({"区"},A704),0),IFERROR(FIND({"县"},A704),0))-1+2)</f>
        <v>沥海街道</v>
      </c>
      <c r="O704" s="4" t="str" cm="1">
        <f t="array" ref="O704">_xlfn.LET(_xlpm.fullText,A704,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4" s="4" t="str" cm="1">
        <f t="array" ref="Q704">_xlfn.LET(_xlpm.fullText,A704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5" spans="1:17">
      <c r="A705" s="3" t="s">
        <v>324</v>
      </c>
      <c r="K705" s="4" t="str" cm="1">
        <f t="array" ref="K705">MID(A705,MAX(IFERROR(FIND({"省","市","区","县"},A705),0))+1,FIND("街道",A705)-MAX(IFERROR(FIND({"省","市","区","县"},A705),0))-1+2)</f>
        <v>火花街道</v>
      </c>
      <c r="M705" s="4" t="str" cm="1">
        <f t="array" ref="M705">MID(A705,MAX(IFERROR(FIND({"省"},A705),0),IFERROR(FIND({"市"},A705),0),IFERROR(FIND({"区"},A705),0),IFERROR(FIND({"县"},A705),0))+1,FIND("街道",A705)-MAX(IFERROR(FIND({"省"},A705),0),IFERROR(FIND({"市"},A705),0),IFERROR(FIND({"区"},A705),0),IFERROR(FIND({"县"},A705),0))-1+2)</f>
        <v>火花街道</v>
      </c>
      <c r="O705" s="4" t="str" cm="1">
        <f t="array" ref="O705">_xlfn.LET(_xlpm.fullText,A705,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05" s="4" t="str" cm="1">
        <f t="array" ref="Q705">_xlfn.LET(_xlpm.fullText,A705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06" spans="1:17">
      <c r="A706" s="3" t="s">
        <v>325</v>
      </c>
      <c r="K706" s="4" t="str" cm="1">
        <f t="array" ref="K706">MID(A706,MAX(IFERROR(FIND({"省","市","区","县"},A706),0))+1,FIND("街道",A706)-MAX(IFERROR(FIND({"省","市","区","县"},A706),0))-1+2)</f>
        <v>火花街道</v>
      </c>
      <c r="M706" s="4" t="str" cm="1">
        <f t="array" ref="M706">MID(A706,MAX(IFERROR(FIND({"省"},A706),0),IFERROR(FIND({"市"},A706),0),IFERROR(FIND({"区"},A706),0),IFERROR(FIND({"县"},A706),0))+1,FIND("街道",A706)-MAX(IFERROR(FIND({"省"},A706),0),IFERROR(FIND({"市"},A706),0),IFERROR(FIND({"区"},A706),0),IFERROR(FIND({"县"},A706),0))-1+2)</f>
        <v>火花街道</v>
      </c>
      <c r="O706" s="4" t="str" cm="1">
        <f t="array" ref="O706">_xlfn.LET(_xlpm.fullText,A706,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06" s="4" t="str" cm="1">
        <f t="array" ref="Q706">_xlfn.LET(_xlpm.fullText,A706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07" spans="1:17">
      <c r="A707" s="3" t="s">
        <v>325</v>
      </c>
      <c r="K707" s="4" t="str" cm="1">
        <f t="array" ref="K707">MID(A707,MAX(IFERROR(FIND({"省","市","区","县"},A707),0))+1,FIND("街道",A707)-MAX(IFERROR(FIND({"省","市","区","县"},A707),0))-1+2)</f>
        <v>火花街道</v>
      </c>
      <c r="M707" s="4" t="str" cm="1">
        <f t="array" ref="M707">MID(A707,MAX(IFERROR(FIND({"省"},A707),0),IFERROR(FIND({"市"},A707),0),IFERROR(FIND({"区"},A707),0),IFERROR(FIND({"县"},A707),0))+1,FIND("街道",A707)-MAX(IFERROR(FIND({"省"},A707),0),IFERROR(FIND({"市"},A707),0),IFERROR(FIND({"区"},A707),0),IFERROR(FIND({"县"},A707),0))-1+2)</f>
        <v>火花街道</v>
      </c>
      <c r="O707" s="4" t="str" cm="1">
        <f t="array" ref="O707">_xlfn.LET(_xlpm.fullText,A707,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07" s="4" t="str" cm="1">
        <f t="array" ref="Q707">_xlfn.LET(_xlpm.fullText,A707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08" spans="1:17">
      <c r="A708" s="3" t="s">
        <v>326</v>
      </c>
      <c r="K708" s="4" t="str" cm="1">
        <f t="array" ref="K708">MID(A708,MAX(IFERROR(FIND({"省","市","区","县"},A708),0))+1,FIND("街道",A708)-MAX(IFERROR(FIND({"省","市","区","县"},A708),0))-1+2)</f>
        <v>沥海街道</v>
      </c>
      <c r="M708" s="4" t="str" cm="1">
        <f t="array" ref="M708">MID(A708,MAX(IFERROR(FIND({"省"},A708),0),IFERROR(FIND({"市"},A708),0),IFERROR(FIND({"区"},A708),0),IFERROR(FIND({"县"},A708),0))+1,FIND("街道",A708)-MAX(IFERROR(FIND({"省"},A708),0),IFERROR(FIND({"市"},A708),0),IFERROR(FIND({"区"},A708),0),IFERROR(FIND({"县"},A708),0))-1+2)</f>
        <v>沥海街道</v>
      </c>
      <c r="O708" s="4" t="str" cm="1">
        <f t="array" ref="O708">_xlfn.LET(_xlpm.fullText,A708,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8" s="4" t="str" cm="1">
        <f t="array" ref="Q708">_xlfn.LET(_xlpm.fullText,A708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09" spans="1:17">
      <c r="A709" s="3" t="s">
        <v>326</v>
      </c>
      <c r="K709" s="4" t="str" cm="1">
        <f t="array" ref="K709">MID(A709,MAX(IFERROR(FIND({"省","市","区","县"},A709),0))+1,FIND("街道",A709)-MAX(IFERROR(FIND({"省","市","区","县"},A709),0))-1+2)</f>
        <v>沥海街道</v>
      </c>
      <c r="M709" s="4" t="str" cm="1">
        <f t="array" ref="M709">MID(A709,MAX(IFERROR(FIND({"省"},A709),0),IFERROR(FIND({"市"},A709),0),IFERROR(FIND({"区"},A709),0),IFERROR(FIND({"县"},A709),0))+1,FIND("街道",A709)-MAX(IFERROR(FIND({"省"},A709),0),IFERROR(FIND({"市"},A709),0),IFERROR(FIND({"区"},A709),0),IFERROR(FIND({"县"},A709),0))-1+2)</f>
        <v>沥海街道</v>
      </c>
      <c r="O709" s="4" t="str" cm="1">
        <f t="array" ref="O709">_xlfn.LET(_xlpm.fullText,A709,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09" s="4" t="str" cm="1">
        <f t="array" ref="Q709">_xlfn.LET(_xlpm.fullText,A709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10" spans="1:17">
      <c r="A710" s="3" t="s">
        <v>327</v>
      </c>
      <c r="K710" s="4" t="str" cm="1">
        <f t="array" ref="K710">MID(A710,MAX(IFERROR(FIND({"省","市","区","县"},A710),0))+1,FIND("街道",A710)-MAX(IFERROR(FIND({"省","市","区","县"},A710),0))-1+2)</f>
        <v>凤岗街道</v>
      </c>
      <c r="M710" s="4" t="str" cm="1">
        <f t="array" ref="M710">MID(A710,MAX(IFERROR(FIND({"省"},A710),0),IFERROR(FIND({"市"},A710),0),IFERROR(FIND({"区"},A710),0),IFERROR(FIND({"县"},A710),0))+1,FIND("街道",A710)-MAX(IFERROR(FIND({"省"},A710),0),IFERROR(FIND({"市"},A710),0),IFERROR(FIND({"区"},A710),0),IFERROR(FIND({"县"},A710),0))-1+2)</f>
        <v>凤岗街道</v>
      </c>
      <c r="O710" s="4" t="str" cm="1">
        <f t="array" ref="O710">_xlfn.LET(_xlpm.fullText,A710,_xlpm.streetPos,FIND("街道",_xlpm.fullText)+2,_xlpm.prefixText,LEFT(_xlpm.fullText,_xlpm.streetPos-1),_xlpm.adminPos,MAX(IFERROR(FIND({"省","市","区","县"},_xlpm.prefixText),0)),IF(_xlpm.adminPos&gt;0,MID(_xlpm.prefixText,_xlpm.adminPos+1,_xlpm.streetPos-_xlpm.adminPos-3+2),LEFT(_xlpm.prefixText,FIND("街道",_xlpm.prefixText)-1+2)))</f>
        <v>凤岗街道</v>
      </c>
      <c r="Q710" s="4" t="str" cm="1">
        <f t="array" ref="Q710">_xlfn.LET(_xlpm.fullText,A710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凤岗街道</v>
      </c>
    </row>
    <row r="711" ht="28.8" spans="1:17">
      <c r="A711" s="3" t="s">
        <v>328</v>
      </c>
      <c r="K711" s="4" t="str" cm="1">
        <f t="array" ref="K711">MID(A711,MAX(IFERROR(FIND({"省","市","区","县"},A711),0))+1,FIND("街道",A711)-MAX(IFERROR(FIND({"省","市","区","县"},A711),0))-1+2)</f>
        <v>金龙湖街道</v>
      </c>
      <c r="M711" s="4" t="str" cm="1">
        <f t="array" ref="M711">MID(A711,MAX(IFERROR(FIND({"省"},A711),0),IFERROR(FIND({"市"},A711),0),IFERROR(FIND({"区"},A711),0),IFERROR(FIND({"县"},A711),0))+1,FIND("街道",A711)-MAX(IFERROR(FIND({"省"},A711),0),IFERROR(FIND({"市"},A711),0),IFERROR(FIND({"区"},A711),0),IFERROR(FIND({"县"},A711),0))-1+2)</f>
        <v>金龙湖街道</v>
      </c>
      <c r="O711" s="4" t="str" cm="1">
        <f t="array" ref="O711">_xlfn.LET(_xlpm.fullText,A711,_xlpm.streetPos,FIND("街道",_xlpm.fullText)+2,_xlpm.prefixText,LEFT(_xlpm.fullText,_xlpm.streetPos-1),_xlpm.adminPos,MAX(IFERROR(FIND({"省","市","区","县"},_xlpm.prefixText),0)),IF(_xlpm.adminPos&gt;0,MID(_xlpm.prefixText,_xlpm.adminPos+1,_xlpm.streetPos-_xlpm.adminPos-3+2),LEFT(_xlpm.prefixText,FIND("街道",_xlpm.prefixText)-1+2)))</f>
        <v>金龙湖街道</v>
      </c>
      <c r="Q711" s="4" t="str" cm="1">
        <f t="array" ref="Q711">_xlfn.LET(_xlpm.fullText,A711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金龙湖街道</v>
      </c>
    </row>
    <row r="712" spans="1:17">
      <c r="A712" s="3" t="s">
        <v>329</v>
      </c>
      <c r="K712" s="4" t="str" cm="1">
        <f t="array" ref="K712">MID(A712,MAX(IFERROR(FIND({"省","市","区","县"},A712),0))+1,FIND("街道",A712)-MAX(IFERROR(FIND({"省","市","区","县"},A712),0))-1+2)</f>
        <v>三水街道</v>
      </c>
      <c r="M712" s="4" t="str" cm="1">
        <f t="array" ref="M712">MID(A712,MAX(IFERROR(FIND({"省"},A712),0),IFERROR(FIND({"市"},A712),0),IFERROR(FIND({"区"},A712),0),IFERROR(FIND({"县"},A712),0))+1,FIND("街道",A712)-MAX(IFERROR(FIND({"省"},A712),0),IFERROR(FIND({"市"},A712),0),IFERROR(FIND({"区"},A712),0),IFERROR(FIND({"县"},A712),0))-1+2)</f>
        <v>三水街道</v>
      </c>
      <c r="O712" s="4" t="str" cm="1">
        <f t="array" ref="O712">_xlfn.LET(_xlpm.fullText,A712,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12" s="4" t="str" cm="1">
        <f t="array" ref="Q712">_xlfn.LET(_xlpm.fullText,A712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13" spans="1:17">
      <c r="A713" s="3" t="s">
        <v>330</v>
      </c>
      <c r="K713" s="4" t="str" cm="1">
        <f t="array" ref="K713">MID(A713,MAX(IFERROR(FIND({"省","市","区","县"},A713),0))+1,FIND("街道",A713)-MAX(IFERROR(FIND({"省","市","区","县"},A713),0))-1+2)</f>
        <v>江陵街道</v>
      </c>
      <c r="M713" s="4" t="str" cm="1">
        <f t="array" ref="M713">MID(A713,MAX(IFERROR(FIND({"省"},A713),0),IFERROR(FIND({"市"},A713),0),IFERROR(FIND({"区"},A713),0),IFERROR(FIND({"县"},A713),0))+1,FIND("街道",A713)-MAX(IFERROR(FIND({"省"},A713),0),IFERROR(FIND({"市"},A713),0),IFERROR(FIND({"区"},A713),0),IFERROR(FIND({"县"},A713),0))-1+2)</f>
        <v>江陵街道</v>
      </c>
      <c r="O713" s="4" t="str" cm="1">
        <f t="array" ref="O713">_xlfn.LET(_xlpm.fullText,A713,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713" s="4" t="str" cm="1">
        <f t="array" ref="Q713">_xlfn.LET(_xlpm.fullText,A713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714" spans="1:17">
      <c r="A714" s="3" t="s">
        <v>331</v>
      </c>
      <c r="K714" s="4" t="str" cm="1">
        <f t="array" ref="K714">MID(A714,MAX(IFERROR(FIND({"省","市","区","县"},A714),0))+1,FIND("街道",A714)-MAX(IFERROR(FIND({"省","市","区","县"},A714),0))-1+2)</f>
        <v>湖里街道</v>
      </c>
      <c r="M714" s="4" t="str" cm="1">
        <f t="array" ref="M714">MID(A714,MAX(IFERROR(FIND({"省"},A714),0),IFERROR(FIND({"市"},A714),0),IFERROR(FIND({"区"},A714),0),IFERROR(FIND({"县"},A714),0))+1,FIND("街道",A714)-MAX(IFERROR(FIND({"省"},A714),0),IFERROR(FIND({"市"},A714),0),IFERROR(FIND({"区"},A714),0),IFERROR(FIND({"县"},A714),0))-1+2)</f>
        <v>湖里街道</v>
      </c>
      <c r="O714" s="4" t="str" cm="1">
        <f t="array" ref="O714">_xlfn.LET(_xlpm.fullText,A714,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714" s="4" t="str" cm="1">
        <f t="array" ref="Q714">_xlfn.LET(_xlpm.fullText,A714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715" spans="1:17">
      <c r="A715" s="3" t="s">
        <v>332</v>
      </c>
      <c r="K715" s="4" t="str" cm="1">
        <f t="array" ref="K715">MID(A715,MAX(IFERROR(FIND({"省","市","区","县"},A715),0))+1,FIND("街道",A715)-MAX(IFERROR(FIND({"省","市","区","县"},A715),0))-1+2)</f>
        <v>凤岗街道</v>
      </c>
      <c r="M715" s="4" t="str" cm="1">
        <f t="array" ref="M715">MID(A715,MAX(IFERROR(FIND({"省"},A715),0),IFERROR(FIND({"市"},A715),0),IFERROR(FIND({"区"},A715),0),IFERROR(FIND({"县"},A715),0))+1,FIND("街道",A715)-MAX(IFERROR(FIND({"省"},A715),0),IFERROR(FIND({"市"},A715),0),IFERROR(FIND({"区"},A715),0),IFERROR(FIND({"县"},A715),0))-1+2)</f>
        <v>凤岗街道</v>
      </c>
      <c r="O715" s="4" t="str" cm="1">
        <f t="array" ref="O715">_xlfn.LET(_xlpm.fullText,A715,_xlpm.streetPos,FIND("街道",_xlpm.fullText)+2,_xlpm.prefixText,LEFT(_xlpm.fullText,_xlpm.streetPos-1),_xlpm.adminPos,MAX(IFERROR(FIND({"省","市","区","县"},_xlpm.prefixText),0)),IF(_xlpm.adminPos&gt;0,MID(_xlpm.prefixText,_xlpm.adminPos+1,_xlpm.streetPos-_xlpm.adminPos-3+2),LEFT(_xlpm.prefixText,FIND("街道",_xlpm.prefixText)-1+2)))</f>
        <v>凤岗街道</v>
      </c>
      <c r="Q715" s="4" t="str" cm="1">
        <f t="array" ref="Q715">_xlfn.LET(_xlpm.fullText,A715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凤岗街道</v>
      </c>
    </row>
    <row r="716" ht="28.8" spans="1:17">
      <c r="A716" s="3" t="s">
        <v>333</v>
      </c>
      <c r="K716" s="4" t="str" cm="1">
        <f t="array" ref="K716">MID(A716,MAX(IFERROR(FIND({"省","市","区","县"},A716),0))+1,FIND("街道",A716)-MAX(IFERROR(FIND({"省","市","区","县"},A716),0))-1+2)</f>
        <v>晋江市青阳街道</v>
      </c>
      <c r="M716" s="4" t="str" cm="1">
        <f t="array" ref="M716">MID(A716,MAX(IFERROR(FIND({"省"},A716),0),IFERROR(FIND({"市"},A716),0),IFERROR(FIND({"区"},A716),0),IFERROR(FIND({"县"},A716),0))+1,FIND("街道",A716)-MAX(IFERROR(FIND({"省"},A716),0),IFERROR(FIND({"市"},A716),0),IFERROR(FIND({"区"},A716),0),IFERROR(FIND({"县"},A716),0))-1+2)</f>
        <v>晋江市青阳街道</v>
      </c>
      <c r="O716" s="4" t="str" cm="1">
        <f t="array" ref="O716">_xlfn.LET(_xlpm.fullText,A716,_xlpm.streetPos,FIND("街道",_xlpm.fullText)+2,_xlpm.prefixText,LEFT(_xlpm.fullText,_xlpm.streetPos-1),_xlpm.adminPos,MAX(IFERROR(FIND({"省","市","区","县"},_xlpm.prefixText),0)),IF(_xlpm.adminPos&gt;0,MID(_xlpm.prefixText,_xlpm.adminPos+1,_xlpm.streetPos-_xlpm.adminPos-3+2),LEFT(_xlpm.prefixText,FIND("街道",_xlpm.prefixText)-1+2)))</f>
        <v>晋江市青阳街道</v>
      </c>
      <c r="Q716" s="4" t="str" cm="1">
        <f t="array" ref="Q716">_xlfn.LET(_xlpm.fullText,A716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青阳街道</v>
      </c>
    </row>
    <row r="717" ht="28.8" spans="1:17">
      <c r="A717" s="3" t="s">
        <v>334</v>
      </c>
      <c r="K717" s="4" t="str" cm="1">
        <f t="array" ref="K717">MID(A717,MAX(IFERROR(FIND({"省","市","区","县"},A717),0))+1,FIND("街道",A717)-MAX(IFERROR(FIND({"省","市","区","县"},A717),0))-1+2)</f>
        <v>常熟市虞山街道</v>
      </c>
      <c r="M717" s="4" t="str" cm="1">
        <f t="array" ref="M717">MID(A717,MAX(IFERROR(FIND({"省"},A717),0),IFERROR(FIND({"市"},A717),0),IFERROR(FIND({"区"},A717),0),IFERROR(FIND({"县"},A717),0))+1,FIND("街道",A717)-MAX(IFERROR(FIND({"省"},A717),0),IFERROR(FIND({"市"},A717),0),IFERROR(FIND({"区"},A717),0),IFERROR(FIND({"县"},A717),0))-1+2)</f>
        <v>常熟市虞山街道</v>
      </c>
      <c r="O717" s="4" t="str" cm="1">
        <f t="array" ref="O717">_xlfn.LET(_xlpm.fullText,A717,_xlpm.streetPos,FIND("街道",_xlpm.fullText)+2,_xlpm.prefixText,LEFT(_xlpm.fullText,_xlpm.streetPos-1),_xlpm.adminPos,MAX(IFERROR(FIND({"省","市","区","县"},_xlpm.prefixText),0)),IF(_xlpm.adminPos&gt;0,MID(_xlpm.prefixText,_xlpm.adminPos+1,_xlpm.streetPos-_xlpm.adminPos-3+2),LEFT(_xlpm.prefixText,FIND("街道",_xlpm.prefixText)-1+2)))</f>
        <v>常熟市虞山街道</v>
      </c>
      <c r="Q717" s="4" t="str" cm="1">
        <f t="array" ref="Q717">_xlfn.LET(_xlpm.fullText,A717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虞山街道</v>
      </c>
    </row>
    <row r="718" spans="1:17">
      <c r="A718" s="3" t="s">
        <v>329</v>
      </c>
      <c r="K718" s="4" t="str" cm="1">
        <f t="array" ref="K718">MID(A718,MAX(IFERROR(FIND({"省","市","区","县"},A718),0))+1,FIND("街道",A718)-MAX(IFERROR(FIND({"省","市","区","县"},A718),0))-1+2)</f>
        <v>三水街道</v>
      </c>
      <c r="M718" s="4" t="str" cm="1">
        <f t="array" ref="M718">MID(A718,MAX(IFERROR(FIND({"省"},A718),0),IFERROR(FIND({"市"},A718),0),IFERROR(FIND({"区"},A718),0),IFERROR(FIND({"县"},A718),0))+1,FIND("街道",A718)-MAX(IFERROR(FIND({"省"},A718),0),IFERROR(FIND({"市"},A718),0),IFERROR(FIND({"区"},A718),0),IFERROR(FIND({"县"},A718),0))-1+2)</f>
        <v>三水街道</v>
      </c>
      <c r="O718" s="4" t="str" cm="1">
        <f t="array" ref="O718">_xlfn.LET(_xlpm.fullText,A718,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18" s="4" t="str" cm="1">
        <f t="array" ref="Q718">_xlfn.LET(_xlpm.fullText,A718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19" spans="1:17">
      <c r="A719" s="3" t="s">
        <v>329</v>
      </c>
      <c r="K719" s="4" t="str" cm="1">
        <f t="array" ref="K719">MID(A719,MAX(IFERROR(FIND({"省","市","区","县"},A719),0))+1,FIND("街道",A719)-MAX(IFERROR(FIND({"省","市","区","县"},A719),0))-1+2)</f>
        <v>三水街道</v>
      </c>
      <c r="M719" s="4" t="str" cm="1">
        <f t="array" ref="M719">MID(A719,MAX(IFERROR(FIND({"省"},A719),0),IFERROR(FIND({"市"},A719),0),IFERROR(FIND({"区"},A719),0),IFERROR(FIND({"县"},A719),0))+1,FIND("街道",A719)-MAX(IFERROR(FIND({"省"},A719),0),IFERROR(FIND({"市"},A719),0),IFERROR(FIND({"区"},A719),0),IFERROR(FIND({"县"},A719),0))-1+2)</f>
        <v>三水街道</v>
      </c>
      <c r="O719" s="4" t="str" cm="1">
        <f t="array" ref="O719">_xlfn.LET(_xlpm.fullText,A719,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19" s="4" t="str" cm="1">
        <f t="array" ref="Q719">_xlfn.LET(_xlpm.fullText,A719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20" spans="1:17">
      <c r="A720" s="3" t="s">
        <v>329</v>
      </c>
      <c r="K720" s="4" t="str" cm="1">
        <f t="array" ref="K720">MID(A720,MAX(IFERROR(FIND({"省","市","区","县"},A720),0))+1,FIND("街道",A720)-MAX(IFERROR(FIND({"省","市","区","县"},A720),0))-1+2)</f>
        <v>三水街道</v>
      </c>
      <c r="M720" s="4" t="str" cm="1">
        <f t="array" ref="M720">MID(A720,MAX(IFERROR(FIND({"省"},A720),0),IFERROR(FIND({"市"},A720),0),IFERROR(FIND({"区"},A720),0),IFERROR(FIND({"县"},A720),0))+1,FIND("街道",A720)-MAX(IFERROR(FIND({"省"},A720),0),IFERROR(FIND({"市"},A720),0),IFERROR(FIND({"区"},A720),0),IFERROR(FIND({"县"},A720),0))-1+2)</f>
        <v>三水街道</v>
      </c>
      <c r="O720" s="4" t="str" cm="1">
        <f t="array" ref="O720">_xlfn.LET(_xlpm.fullText,A720,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20" s="4" t="str" cm="1">
        <f t="array" ref="Q720">_xlfn.LET(_xlpm.fullText,A720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21" ht="28.8" spans="1:17">
      <c r="A721" s="3" t="s">
        <v>335</v>
      </c>
      <c r="K721" s="4" t="str" cm="1">
        <f t="array" ref="K721">MID(A721,MAX(IFERROR(FIND({"省","市","区","县"},A721),0))+1,FIND("街道",A721)-MAX(IFERROR(FIND({"省","市","区","县"},A721),0))-1+2)</f>
        <v>常熟市虞山街道</v>
      </c>
      <c r="M721" s="4" t="str" cm="1">
        <f t="array" ref="M721">MID(A721,MAX(IFERROR(FIND({"省"},A721),0),IFERROR(FIND({"市"},A721),0),IFERROR(FIND({"区"},A721),0),IFERROR(FIND({"县"},A721),0))+1,FIND("街道",A721)-MAX(IFERROR(FIND({"省"},A721),0),IFERROR(FIND({"市"},A721),0),IFERROR(FIND({"区"},A721),0),IFERROR(FIND({"县"},A721),0))-1+2)</f>
        <v>常熟市虞山街道</v>
      </c>
      <c r="O721" s="4" t="str" cm="1">
        <f t="array" ref="O721">_xlfn.LET(_xlpm.fullText,A721,_xlpm.streetPos,FIND("街道",_xlpm.fullText)+2,_xlpm.prefixText,LEFT(_xlpm.fullText,_xlpm.streetPos-1),_xlpm.adminPos,MAX(IFERROR(FIND({"省","市","区","县"},_xlpm.prefixText),0)),IF(_xlpm.adminPos&gt;0,MID(_xlpm.prefixText,_xlpm.adminPos+1,_xlpm.streetPos-_xlpm.adminPos-3+2),LEFT(_xlpm.prefixText,FIND("街道",_xlpm.prefixText)-1+2)))</f>
        <v>常熟市虞山街道</v>
      </c>
      <c r="Q721" s="4" t="str" cm="1">
        <f t="array" ref="Q721">_xlfn.LET(_xlpm.fullText,A721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虞山街道</v>
      </c>
    </row>
    <row r="722" spans="1:17">
      <c r="A722" s="3" t="s">
        <v>336</v>
      </c>
      <c r="K722" s="4" t="str" cm="1">
        <f t="array" ref="K722">MID(A722,MAX(IFERROR(FIND({"省","市","区","县"},A722),0))+1,FIND("街道",A722)-MAX(IFERROR(FIND({"省","市","区","县"},A722),0))-1+2)</f>
        <v>沥海街道</v>
      </c>
      <c r="M722" s="4" t="str" cm="1">
        <f t="array" ref="M722">MID(A722,MAX(IFERROR(FIND({"省"},A722),0),IFERROR(FIND({"市"},A722),0),IFERROR(FIND({"区"},A722),0),IFERROR(FIND({"县"},A722),0))+1,FIND("街道",A722)-MAX(IFERROR(FIND({"省"},A722),0),IFERROR(FIND({"市"},A722),0),IFERROR(FIND({"区"},A722),0),IFERROR(FIND({"县"},A722),0))-1+2)</f>
        <v>沥海街道</v>
      </c>
      <c r="O722" s="4" t="str" cm="1">
        <f t="array" ref="O722">_xlfn.LET(_xlpm.fullText,A722,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22" s="4" t="str" cm="1">
        <f t="array" ref="Q722">_xlfn.LET(_xlpm.fullText,A722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23" spans="1:17">
      <c r="A723" s="3" t="s">
        <v>337</v>
      </c>
      <c r="K723" s="4" t="str" cm="1">
        <f t="array" ref="K723">MID(A723,MAX(IFERROR(FIND({"省","市","区","县"},A723),0))+1,FIND("街道",A723)-MAX(IFERROR(FIND({"省","市","区","县"},A723),0))-1+2)</f>
        <v>沥海街道</v>
      </c>
      <c r="M723" s="4" t="str" cm="1">
        <f t="array" ref="M723">MID(A723,MAX(IFERROR(FIND({"省"},A723),0),IFERROR(FIND({"市"},A723),0),IFERROR(FIND({"区"},A723),0),IFERROR(FIND({"县"},A723),0))+1,FIND("街道",A723)-MAX(IFERROR(FIND({"省"},A723),0),IFERROR(FIND({"市"},A723),0),IFERROR(FIND({"区"},A723),0),IFERROR(FIND({"县"},A723),0))-1+2)</f>
        <v>沥海街道</v>
      </c>
      <c r="O723" s="4" t="str" cm="1">
        <f t="array" ref="O723">_xlfn.LET(_xlpm.fullText,A723,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23" s="4" t="str" cm="1">
        <f t="array" ref="Q723">_xlfn.LET(_xlpm.fullText,A723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24" ht="28.8" spans="1:17">
      <c r="A724" s="3" t="s">
        <v>338</v>
      </c>
      <c r="K724" s="4" t="str" cm="1">
        <f t="array" ref="K724">MID(A724,MAX(IFERROR(FIND({"省","市","区","县"},A724),0))+1,FIND("街道",A724)-MAX(IFERROR(FIND({"省","市","区","县"},A724),0))-1+2)</f>
        <v>常熟市琴川街道</v>
      </c>
      <c r="M724" s="4" t="str" cm="1">
        <f t="array" ref="M724">MID(A724,MAX(IFERROR(FIND({"省"},A724),0),IFERROR(FIND({"市"},A724),0),IFERROR(FIND({"区"},A724),0),IFERROR(FIND({"县"},A724),0))+1,FIND("街道",A724)-MAX(IFERROR(FIND({"省"},A724),0),IFERROR(FIND({"市"},A724),0),IFERROR(FIND({"区"},A724),0),IFERROR(FIND({"县"},A724),0))-1+2)</f>
        <v>常熟市琴川街道</v>
      </c>
      <c r="O724" s="4" t="str" cm="1">
        <f t="array" ref="O724">_xlfn.LET(_xlpm.fullText,A724,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24" s="4" t="str" cm="1">
        <f t="array" ref="Q724">_xlfn.LET(_xlpm.fullText,A724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25" spans="1:17">
      <c r="A725" s="3" t="s">
        <v>339</v>
      </c>
      <c r="K725" s="4" t="str" cm="1">
        <f t="array" ref="K725">MID(A725,MAX(IFERROR(FIND({"省","市","区","县"},A725),0))+1,FIND("街道",A725)-MAX(IFERROR(FIND({"省","市","区","县"},A725),0))-1+2)</f>
        <v>金新街道</v>
      </c>
      <c r="M725" s="4" t="str" cm="1">
        <f t="array" ref="M725">MID(A725,MAX(IFERROR(FIND({"省"},A725),0),IFERROR(FIND({"市"},A725),0),IFERROR(FIND({"区"},A725),0),IFERROR(FIND({"县"},A725),0))+1,FIND("街道",A725)-MAX(IFERROR(FIND({"省"},A725),0),IFERROR(FIND({"市"},A725),0),IFERROR(FIND({"区"},A725),0),IFERROR(FIND({"县"},A725),0))-1+2)</f>
        <v>金新街道</v>
      </c>
      <c r="O725" s="4" t="str" cm="1">
        <f t="array" ref="O725">_xlfn.LET(_xlpm.fullText,A725,_xlpm.streetPos,FIND("街道",_xlpm.fullText)+2,_xlpm.prefixText,LEFT(_xlpm.fullText,_xlpm.streetPos-1),_xlpm.adminPos,MAX(IFERROR(FIND({"省","市","区","县"},_xlpm.prefixText),0)),IF(_xlpm.adminPos&gt;0,MID(_xlpm.prefixText,_xlpm.adminPos+1,_xlpm.streetPos-_xlpm.adminPos-3+2),LEFT(_xlpm.prefixText,FIND("街道",_xlpm.prefixText)-1+2)))</f>
        <v>金新街道</v>
      </c>
      <c r="Q725" s="4" t="str" cm="1">
        <f t="array" ref="Q725">_xlfn.LET(_xlpm.fullText,A725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金新街道</v>
      </c>
    </row>
    <row r="726" spans="1:17">
      <c r="A726" s="3" t="s">
        <v>340</v>
      </c>
      <c r="K726" s="4" t="str" cm="1">
        <f t="array" ref="K726">MID(A726,MAX(IFERROR(FIND({"省","市","区","县"},A726),0))+1,FIND("街道",A726)-MAX(IFERROR(FIND({"省","市","区","县"},A726),0))-1+2)</f>
        <v>三水街道</v>
      </c>
      <c r="M726" s="4" t="str" cm="1">
        <f t="array" ref="M726">MID(A726,MAX(IFERROR(FIND({"省"},A726),0),IFERROR(FIND({"市"},A726),0),IFERROR(FIND({"区"},A726),0),IFERROR(FIND({"县"},A726),0))+1,FIND("街道",A726)-MAX(IFERROR(FIND({"省"},A726),0),IFERROR(FIND({"市"},A726),0),IFERROR(FIND({"区"},A726),0),IFERROR(FIND({"县"},A726),0))-1+2)</f>
        <v>三水街道</v>
      </c>
      <c r="O726" s="4" t="str" cm="1">
        <f t="array" ref="O726">_xlfn.LET(_xlpm.fullText,A726,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26" s="4" t="str" cm="1">
        <f t="array" ref="Q726">_xlfn.LET(_xlpm.fullText,A726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27" ht="28.8" spans="1:17">
      <c r="A727" s="3" t="s">
        <v>341</v>
      </c>
      <c r="K727" s="4" t="str" cm="1">
        <f t="array" ref="K727">MID(A727,MAX(IFERROR(FIND({"省","市","区","县"},A727),0))+1,FIND("街道",A727)-MAX(IFERROR(FIND({"省","市","区","县"},A727),0))-1+2)</f>
        <v>常熟市琴川街道</v>
      </c>
      <c r="M727" s="4" t="str" cm="1">
        <f t="array" ref="M727">MID(A727,MAX(IFERROR(FIND({"省"},A727),0),IFERROR(FIND({"市"},A727),0),IFERROR(FIND({"区"},A727),0),IFERROR(FIND({"县"},A727),0))+1,FIND("街道",A727)-MAX(IFERROR(FIND({"省"},A727),0),IFERROR(FIND({"市"},A727),0),IFERROR(FIND({"区"},A727),0),IFERROR(FIND({"县"},A727),0))-1+2)</f>
        <v>常熟市琴川街道</v>
      </c>
      <c r="O727" s="4" t="str" cm="1">
        <f t="array" ref="O727">_xlfn.LET(_xlpm.fullText,A727,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27" s="4" t="str" cm="1">
        <f t="array" ref="Q727">_xlfn.LET(_xlpm.fullText,A727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28" ht="28.8" spans="1:17">
      <c r="A728" s="3" t="s">
        <v>342</v>
      </c>
      <c r="K728" s="4" t="str" cm="1">
        <f t="array" ref="K728">MID(A728,MAX(IFERROR(FIND({"省","市","区","县"},A728),0))+1,FIND("街道",A728)-MAX(IFERROR(FIND({"省","市","区","县"},A728),0))-1+2)</f>
        <v>常熟市琴川街道</v>
      </c>
      <c r="M728" s="4" t="str" cm="1">
        <f t="array" ref="M728">MID(A728,MAX(IFERROR(FIND({"省"},A728),0),IFERROR(FIND({"市"},A728),0),IFERROR(FIND({"区"},A728),0),IFERROR(FIND({"县"},A728),0))+1,FIND("街道",A728)-MAX(IFERROR(FIND({"省"},A728),0),IFERROR(FIND({"市"},A728),0),IFERROR(FIND({"区"},A728),0),IFERROR(FIND({"县"},A728),0))-1+2)</f>
        <v>常熟市琴川街道</v>
      </c>
      <c r="O728" s="4" t="str" cm="1">
        <f t="array" ref="O728">_xlfn.LET(_xlpm.fullText,A728,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28" s="4" t="str" cm="1">
        <f t="array" ref="Q728">_xlfn.LET(_xlpm.fullText,A728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29" spans="1:17">
      <c r="A729" s="3" t="s">
        <v>343</v>
      </c>
      <c r="K729" s="4" t="str" cm="1">
        <f t="array" ref="K729">MID(A729,MAX(IFERROR(FIND({"省","市","区","县"},A729),0))+1,FIND("街道",A729)-MAX(IFERROR(FIND({"省","市","区","县"},A729),0))-1+2)</f>
        <v>江陵街道</v>
      </c>
      <c r="M729" s="4" t="str" cm="1">
        <f t="array" ref="M729">MID(A729,MAX(IFERROR(FIND({"省"},A729),0),IFERROR(FIND({"市"},A729),0),IFERROR(FIND({"区"},A729),0),IFERROR(FIND({"县"},A729),0))+1,FIND("街道",A729)-MAX(IFERROR(FIND({"省"},A729),0),IFERROR(FIND({"市"},A729),0),IFERROR(FIND({"区"},A729),0),IFERROR(FIND({"县"},A729),0))-1+2)</f>
        <v>江陵街道</v>
      </c>
      <c r="O729" s="4" t="str" cm="1">
        <f t="array" ref="O729">_xlfn.LET(_xlpm.fullText,A729,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729" s="4" t="str" cm="1">
        <f t="array" ref="Q729">_xlfn.LET(_xlpm.fullText,A729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730" spans="1:17">
      <c r="A730" s="3" t="s">
        <v>343</v>
      </c>
      <c r="K730" s="4" t="str" cm="1">
        <f t="array" ref="K730">MID(A730,MAX(IFERROR(FIND({"省","市","区","县"},A730),0))+1,FIND("街道",A730)-MAX(IFERROR(FIND({"省","市","区","县"},A730),0))-1+2)</f>
        <v>江陵街道</v>
      </c>
      <c r="M730" s="4" t="str" cm="1">
        <f t="array" ref="M730">MID(A730,MAX(IFERROR(FIND({"省"},A730),0),IFERROR(FIND({"市"},A730),0),IFERROR(FIND({"区"},A730),0),IFERROR(FIND({"县"},A730),0))+1,FIND("街道",A730)-MAX(IFERROR(FIND({"省"},A730),0),IFERROR(FIND({"市"},A730),0),IFERROR(FIND({"区"},A730),0),IFERROR(FIND({"县"},A730),0))-1+2)</f>
        <v>江陵街道</v>
      </c>
      <c r="O730" s="4" t="str" cm="1">
        <f t="array" ref="O730">_xlfn.LET(_xlpm.fullText,A730,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730" s="4" t="str" cm="1">
        <f t="array" ref="Q730">_xlfn.LET(_xlpm.fullText,A730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731" spans="1:17">
      <c r="A731" s="3" t="s">
        <v>344</v>
      </c>
      <c r="K731" s="4" t="str" cm="1">
        <f t="array" ref="K731">MID(A731,MAX(IFERROR(FIND({"省","市","区","县"},A731),0))+1,FIND("街道",A731)-MAX(IFERROR(FIND({"省","市","区","县"},A731),0))-1+2)</f>
        <v>东山街道</v>
      </c>
      <c r="M731" s="4" t="str" cm="1">
        <f t="array" ref="M731">MID(A731,MAX(IFERROR(FIND({"省"},A731),0),IFERROR(FIND({"市"},A731),0),IFERROR(FIND({"区"},A731),0),IFERROR(FIND({"县"},A731),0))+1,FIND("街道",A731)-MAX(IFERROR(FIND({"省"},A731),0),IFERROR(FIND({"市"},A731),0),IFERROR(FIND({"区"},A731),0),IFERROR(FIND({"县"},A731),0))-1+2)</f>
        <v>东山街道</v>
      </c>
      <c r="O731" s="4" t="str" cm="1">
        <f t="array" ref="O731">_xlfn.LET(_xlpm.fullText,A731,_xlpm.streetPos,FIND("街道",_xlpm.fullText)+2,_xlpm.prefixText,LEFT(_xlpm.fullText,_xlpm.streetPos-1),_xlpm.adminPos,MAX(IFERROR(FIND({"省","市","区","县"},_xlpm.prefixText),0)),IF(_xlpm.adminPos&gt;0,MID(_xlpm.prefixText,_xlpm.adminPos+1,_xlpm.streetPos-_xlpm.adminPos-3+2),LEFT(_xlpm.prefixText,FIND("街道",_xlpm.prefixText)-1+2)))</f>
        <v>东山街道</v>
      </c>
      <c r="Q731" s="4" t="str" cm="1">
        <f t="array" ref="Q731">_xlfn.LET(_xlpm.fullText,A731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东山街道</v>
      </c>
    </row>
    <row r="732" spans="1:17">
      <c r="A732" s="3" t="s">
        <v>345</v>
      </c>
      <c r="K732" s="4" t="str" cm="1">
        <f t="array" ref="K732">MID(A732,MAX(IFERROR(FIND({"省","市","区","县"},A732),0))+1,FIND("街道",A732)-MAX(IFERROR(FIND({"省","市","区","县"},A732),0))-1+2)</f>
        <v>火花街道</v>
      </c>
      <c r="M732" s="4" t="str" cm="1">
        <f t="array" ref="M732">MID(A732,MAX(IFERROR(FIND({"省"},A732),0),IFERROR(FIND({"市"},A732),0),IFERROR(FIND({"区"},A732),0),IFERROR(FIND({"县"},A732),0))+1,FIND("街道",A732)-MAX(IFERROR(FIND({"省"},A732),0),IFERROR(FIND({"市"},A732),0),IFERROR(FIND({"区"},A732),0),IFERROR(FIND({"县"},A732),0))-1+2)</f>
        <v>火花街道</v>
      </c>
      <c r="O732" s="4" t="str" cm="1">
        <f t="array" ref="O732">_xlfn.LET(_xlpm.fullText,A732,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32" s="4" t="str" cm="1">
        <f t="array" ref="Q732">_xlfn.LET(_xlpm.fullText,A732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33" ht="28.8" spans="1:17">
      <c r="A733" s="3" t="s">
        <v>346</v>
      </c>
      <c r="K733" s="4" t="str" cm="1">
        <f t="array" ref="K733">MID(A733,MAX(IFERROR(FIND({"省","市","区","县"},A733),0))+1,FIND("街道",A733)-MAX(IFERROR(FIND({"省","市","区","县"},A733),0))-1+2)</f>
        <v>金山桥街道</v>
      </c>
      <c r="M733" s="4" t="str" cm="1">
        <f t="array" ref="M733">MID(A733,MAX(IFERROR(FIND({"省"},A733),0),IFERROR(FIND({"市"},A733),0),IFERROR(FIND({"区"},A733),0),IFERROR(FIND({"县"},A733),0))+1,FIND("街道",A733)-MAX(IFERROR(FIND({"省"},A733),0),IFERROR(FIND({"市"},A733),0),IFERROR(FIND({"区"},A733),0),IFERROR(FIND({"县"},A733),0))-1+2)</f>
        <v>金山桥街道</v>
      </c>
      <c r="O733" s="4" t="str" cm="1">
        <f t="array" ref="O733">_xlfn.LET(_xlpm.fullText,A733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733" s="4" t="str" cm="1">
        <f t="array" ref="Q733">_xlfn.LET(_xlpm.fullText,A733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734" ht="28.8" spans="1:17">
      <c r="A734" s="3" t="s">
        <v>346</v>
      </c>
      <c r="K734" s="4" t="str" cm="1">
        <f t="array" ref="K734">MID(A734,MAX(IFERROR(FIND({"省","市","区","县"},A734),0))+1,FIND("街道",A734)-MAX(IFERROR(FIND({"省","市","区","县"},A734),0))-1+2)</f>
        <v>金山桥街道</v>
      </c>
      <c r="M734" s="4" t="str" cm="1">
        <f t="array" ref="M734">MID(A734,MAX(IFERROR(FIND({"省"},A734),0),IFERROR(FIND({"市"},A734),0),IFERROR(FIND({"区"},A734),0),IFERROR(FIND({"县"},A734),0))+1,FIND("街道",A734)-MAX(IFERROR(FIND({"省"},A734),0),IFERROR(FIND({"市"},A734),0),IFERROR(FIND({"区"},A734),0),IFERROR(FIND({"县"},A734),0))-1+2)</f>
        <v>金山桥街道</v>
      </c>
      <c r="O734" s="4" t="str" cm="1">
        <f t="array" ref="O734">_xlfn.LET(_xlpm.fullText,A734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734" s="4" t="str" cm="1">
        <f t="array" ref="Q734">_xlfn.LET(_xlpm.fullText,A734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735" spans="1:17">
      <c r="A735" s="3" t="s">
        <v>347</v>
      </c>
      <c r="K735" s="4" t="str" cm="1">
        <f t="array" ref="K735">MID(A735,MAX(IFERROR(FIND({"省","市","区","县"},A735),0))+1,FIND("街道",A735)-MAX(IFERROR(FIND({"省","市","区","县"},A735),0))-1+2)</f>
        <v>永安街道</v>
      </c>
      <c r="M735" s="4" t="str" cm="1">
        <f t="array" ref="M735">MID(A735,MAX(IFERROR(FIND({"省"},A735),0),IFERROR(FIND({"市"},A735),0),IFERROR(FIND({"区"},A735),0),IFERROR(FIND({"县"},A735),0))+1,FIND("街道",A735)-MAX(IFERROR(FIND({"省"},A735),0),IFERROR(FIND({"市"},A735),0),IFERROR(FIND({"区"},A735),0),IFERROR(FIND({"县"},A735),0))-1+2)</f>
        <v>永安街道</v>
      </c>
      <c r="O735" s="4" t="str" cm="1">
        <f t="array" ref="O735">_xlfn.LET(_xlpm.fullText,A735,_xlpm.streetPos,FIND("街道",_xlpm.fullText)+2,_xlpm.prefixText,LEFT(_xlpm.fullText,_xlpm.streetPos-1),_xlpm.adminPos,MAX(IFERROR(FIND({"省","市","区","县"},_xlpm.prefixText),0)),IF(_xlpm.adminPos&gt;0,MID(_xlpm.prefixText,_xlpm.adminPos+1,_xlpm.streetPos-_xlpm.adminPos-3+2),LEFT(_xlpm.prefixText,FIND("街道",_xlpm.prefixText)-1+2)))</f>
        <v>永安街道</v>
      </c>
      <c r="Q735" s="4" t="str" cm="1">
        <f t="array" ref="Q735">_xlfn.LET(_xlpm.fullText,A735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永安街道</v>
      </c>
    </row>
    <row r="736" spans="1:17">
      <c r="A736" s="3" t="s">
        <v>348</v>
      </c>
      <c r="K736" s="4" t="str" cm="1">
        <f t="array" ref="K736">MID(A736,MAX(IFERROR(FIND({"省","市","区","县"},A736),0))+1,FIND("街道",A736)-MAX(IFERROR(FIND({"省","市","区","县"},A736),0))-1+2)</f>
        <v>沥海街道</v>
      </c>
      <c r="M736" s="4" t="str" cm="1">
        <f t="array" ref="M736">MID(A736,MAX(IFERROR(FIND({"省"},A736),0),IFERROR(FIND({"市"},A736),0),IFERROR(FIND({"区"},A736),0),IFERROR(FIND({"县"},A736),0))+1,FIND("街道",A736)-MAX(IFERROR(FIND({"省"},A736),0),IFERROR(FIND({"市"},A736),0),IFERROR(FIND({"区"},A736),0),IFERROR(FIND({"县"},A736),0))-1+2)</f>
        <v>沥海街道</v>
      </c>
      <c r="O736" s="4" t="str" cm="1">
        <f t="array" ref="O736">_xlfn.LET(_xlpm.fullText,A736,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36" s="4" t="str" cm="1">
        <f t="array" ref="Q736">_xlfn.LET(_xlpm.fullText,A736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37" spans="1:17">
      <c r="A737" s="3" t="s">
        <v>326</v>
      </c>
      <c r="K737" s="4" t="str" cm="1">
        <f t="array" ref="K737">MID(A737,MAX(IFERROR(FIND({"省","市","区","县"},A737),0))+1,FIND("街道",A737)-MAX(IFERROR(FIND({"省","市","区","县"},A737),0))-1+2)</f>
        <v>沥海街道</v>
      </c>
      <c r="M737" s="4" t="str" cm="1">
        <f t="array" ref="M737">MID(A737,MAX(IFERROR(FIND({"省"},A737),0),IFERROR(FIND({"市"},A737),0),IFERROR(FIND({"区"},A737),0),IFERROR(FIND({"县"},A737),0))+1,FIND("街道",A737)-MAX(IFERROR(FIND({"省"},A737),0),IFERROR(FIND({"市"},A737),0),IFERROR(FIND({"区"},A737),0),IFERROR(FIND({"县"},A737),0))-1+2)</f>
        <v>沥海街道</v>
      </c>
      <c r="O737" s="4" t="str" cm="1">
        <f t="array" ref="O737">_xlfn.LET(_xlpm.fullText,A737,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37" s="4" t="str" cm="1">
        <f t="array" ref="Q737">_xlfn.LET(_xlpm.fullText,A737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38" spans="1:17">
      <c r="A738" s="3" t="s">
        <v>349</v>
      </c>
      <c r="K738" s="4" t="str" cm="1">
        <f t="array" ref="K738">MID(A738,MAX(IFERROR(FIND({"省","市","区","县"},A738),0))+1,FIND("街道",A738)-MAX(IFERROR(FIND({"省","市","区","县"},A738),0))-1+2)</f>
        <v>西陂街道</v>
      </c>
      <c r="M738" s="4" t="str" cm="1">
        <f t="array" ref="M738">MID(A738,MAX(IFERROR(FIND({"省"},A738),0),IFERROR(FIND({"市"},A738),0),IFERROR(FIND({"区"},A738),0),IFERROR(FIND({"县"},A738),0))+1,FIND("街道",A738)-MAX(IFERROR(FIND({"省"},A738),0),IFERROR(FIND({"市"},A738),0),IFERROR(FIND({"区"},A738),0),IFERROR(FIND({"县"},A738),0))-1+2)</f>
        <v>西陂街道</v>
      </c>
      <c r="O738" s="4" t="str" cm="1">
        <f t="array" ref="O738">_xlfn.LET(_xlpm.fullText,A738,_xlpm.streetPos,FIND("街道",_xlpm.fullText)+2,_xlpm.prefixText,LEFT(_xlpm.fullText,_xlpm.streetPos-1),_xlpm.adminPos,MAX(IFERROR(FIND({"省","市","区","县"},_xlpm.prefixText),0)),IF(_xlpm.adminPos&gt;0,MID(_xlpm.prefixText,_xlpm.adminPos+1,_xlpm.streetPos-_xlpm.adminPos-3+2),LEFT(_xlpm.prefixText,FIND("街道",_xlpm.prefixText)-1+2)))</f>
        <v>西陂街道</v>
      </c>
      <c r="Q738" s="4" t="str" cm="1">
        <f t="array" ref="Q738">_xlfn.LET(_xlpm.fullText,A738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西陂街道</v>
      </c>
    </row>
    <row r="739" ht="28.8" spans="1:17">
      <c r="A739" s="3" t="s">
        <v>350</v>
      </c>
      <c r="K739" s="4" t="e" cm="1">
        <f t="array" ref="K739">MID(A739,MAX(IFERROR(FIND({"省","市","区","县"},A739),0))+1,FIND("街道",A739)-MAX(IFERROR(FIND({"省","市","区","县"},A739),0))-1+2)</f>
        <v>#VALUE!</v>
      </c>
      <c r="M739" s="4" t="e" cm="1">
        <f t="array" ref="M739">MID(A739,MAX(IFERROR(FIND({"省"},A739),0),IFERROR(FIND({"市"},A739),0),IFERROR(FIND({"区"},A739),0),IFERROR(FIND({"县"},A739),0))+1,FIND("街道",A739)-MAX(IFERROR(FIND({"省"},A739),0),IFERROR(FIND({"市"},A739),0),IFERROR(FIND({"区"},A739),0),IFERROR(FIND({"县"},A739),0))-1+2)</f>
        <v>#VALUE!</v>
      </c>
      <c r="O739" s="4" t="str" cm="1">
        <f t="array" ref="O739">_xlfn.LET(_xlpm.fullText,A739,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39" s="4" t="str" cm="1">
        <f t="array" ref="Q739">_xlfn.LET(_xlpm.fullText,A739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40" spans="1:17">
      <c r="A740" s="3" t="s">
        <v>351</v>
      </c>
      <c r="K740" s="4" t="str" cm="1">
        <f t="array" ref="K740">MID(A740,MAX(IFERROR(FIND({"省","市","区","县"},A740),0))+1,FIND("街道",A740)-MAX(IFERROR(FIND({"省","市","区","县"},A740),0))-1+2)</f>
        <v>子房街道</v>
      </c>
      <c r="M740" s="4" t="str" cm="1">
        <f t="array" ref="M740">MID(A740,MAX(IFERROR(FIND({"省"},A740),0),IFERROR(FIND({"市"},A740),0),IFERROR(FIND({"区"},A740),0),IFERROR(FIND({"县"},A740),0))+1,FIND("街道",A740)-MAX(IFERROR(FIND({"省"},A740),0),IFERROR(FIND({"市"},A740),0),IFERROR(FIND({"区"},A740),0),IFERROR(FIND({"县"},A740),0))-1+2)</f>
        <v>子房街道</v>
      </c>
      <c r="O740" s="4" t="str" cm="1">
        <f t="array" ref="O740">_xlfn.LET(_xlpm.fullText,A740,_xlpm.streetPos,FIND("街道",_xlpm.fullText)+2,_xlpm.prefixText,LEFT(_xlpm.fullText,_xlpm.streetPos-1),_xlpm.adminPos,MAX(IFERROR(FIND({"省","市","区","县"},_xlpm.prefixText),0)),IF(_xlpm.adminPos&gt;0,MID(_xlpm.prefixText,_xlpm.adminPos+1,_xlpm.streetPos-_xlpm.adminPos-3+2),LEFT(_xlpm.prefixText,FIND("街道",_xlpm.prefixText)-1+2)))</f>
        <v>子房街道</v>
      </c>
      <c r="Q740" s="4" t="str" cm="1">
        <f t="array" ref="Q740">_xlfn.LET(_xlpm.fullText,A740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子房街道</v>
      </c>
    </row>
    <row r="741" ht="28.8" spans="1:17">
      <c r="A741" s="3" t="s">
        <v>352</v>
      </c>
      <c r="K741" s="4" t="e" cm="1">
        <f t="array" ref="K741">MID(A741,MAX(IFERROR(FIND({"省","市","区","县"},A741),0))+1,FIND("街道",A741)-MAX(IFERROR(FIND({"省","市","区","县"},A741),0))-1+2)</f>
        <v>#VALUE!</v>
      </c>
      <c r="M741" s="4" t="e" cm="1">
        <f t="array" ref="M741">MID(A741,MAX(IFERROR(FIND({"省"},A741),0),IFERROR(FIND({"市"},A741),0),IFERROR(FIND({"区"},A741),0),IFERROR(FIND({"县"},A741),0))+1,FIND("街道",A741)-MAX(IFERROR(FIND({"省"},A741),0),IFERROR(FIND({"市"},A741),0),IFERROR(FIND({"区"},A741),0),IFERROR(FIND({"县"},A741),0))-1+2)</f>
        <v>#VALUE!</v>
      </c>
      <c r="O741" s="4" t="str" cm="1">
        <f t="array" ref="O741">_xlfn.LET(_xlpm.fullText,A741,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41" s="4" t="str" cm="1">
        <f t="array" ref="Q741">_xlfn.LET(_xlpm.fullText,A741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42" ht="28.8" spans="1:17">
      <c r="A742" s="3" t="s">
        <v>352</v>
      </c>
      <c r="K742" s="4" t="e" cm="1">
        <f t="array" ref="K742">MID(A742,MAX(IFERROR(FIND({"省","市","区","县"},A742),0))+1,FIND("街道",A742)-MAX(IFERROR(FIND({"省","市","区","县"},A742),0))-1+2)</f>
        <v>#VALUE!</v>
      </c>
      <c r="M742" s="4" t="e" cm="1">
        <f t="array" ref="M742">MID(A742,MAX(IFERROR(FIND({"省"},A742),0),IFERROR(FIND({"市"},A742),0),IFERROR(FIND({"区"},A742),0),IFERROR(FIND({"县"},A742),0))+1,FIND("街道",A742)-MAX(IFERROR(FIND({"省"},A742),0),IFERROR(FIND({"市"},A742),0),IFERROR(FIND({"区"},A742),0),IFERROR(FIND({"县"},A742),0))-1+2)</f>
        <v>#VALUE!</v>
      </c>
      <c r="O742" s="4" t="str" cm="1">
        <f t="array" ref="O742">_xlfn.LET(_xlpm.fullText,A742,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42" s="4" t="str" cm="1">
        <f t="array" ref="Q742">_xlfn.LET(_xlpm.fullText,A742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43" ht="28.8" spans="1:17">
      <c r="A743" s="3" t="s">
        <v>342</v>
      </c>
      <c r="K743" s="4" t="str" cm="1">
        <f t="array" ref="K743">MID(A743,MAX(IFERROR(FIND({"省","市","区","县"},A743),0))+1,FIND("街道",A743)-MAX(IFERROR(FIND({"省","市","区","县"},A743),0))-1+2)</f>
        <v>常熟市琴川街道</v>
      </c>
      <c r="M743" s="4" t="str" cm="1">
        <f t="array" ref="M743">MID(A743,MAX(IFERROR(FIND({"省"},A743),0),IFERROR(FIND({"市"},A743),0),IFERROR(FIND({"区"},A743),0),IFERROR(FIND({"县"},A743),0))+1,FIND("街道",A743)-MAX(IFERROR(FIND({"省"},A743),0),IFERROR(FIND({"市"},A743),0),IFERROR(FIND({"区"},A743),0),IFERROR(FIND({"县"},A743),0))-1+2)</f>
        <v>常熟市琴川街道</v>
      </c>
      <c r="O743" s="4" t="str" cm="1">
        <f t="array" ref="O743">_xlfn.LET(_xlpm.fullText,A743,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43" s="4" t="str" cm="1">
        <f t="array" ref="Q743">_xlfn.LET(_xlpm.fullText,A743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44" ht="28.8" spans="1:17">
      <c r="A744" s="3" t="s">
        <v>352</v>
      </c>
      <c r="K744" s="4" t="e" cm="1">
        <f t="array" ref="K744">MID(A744,MAX(IFERROR(FIND({"省","市","区","县"},A744),0))+1,FIND("街道",A744)-MAX(IFERROR(FIND({"省","市","区","县"},A744),0))-1+2)</f>
        <v>#VALUE!</v>
      </c>
      <c r="M744" s="4" t="e" cm="1">
        <f t="array" ref="M744">MID(A744,MAX(IFERROR(FIND({"省"},A744),0),IFERROR(FIND({"市"},A744),0),IFERROR(FIND({"区"},A744),0),IFERROR(FIND({"县"},A744),0))+1,FIND("街道",A744)-MAX(IFERROR(FIND({"省"},A744),0),IFERROR(FIND({"市"},A744),0),IFERROR(FIND({"区"},A744),0),IFERROR(FIND({"县"},A744),0))-1+2)</f>
        <v>#VALUE!</v>
      </c>
      <c r="O744" s="4" t="str" cm="1">
        <f t="array" ref="O744">_xlfn.LET(_xlpm.fullText,A744,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44" s="4" t="str" cm="1">
        <f t="array" ref="Q744">_xlfn.LET(_xlpm.fullText,A744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45" spans="1:17">
      <c r="A745" s="3" t="s">
        <v>329</v>
      </c>
      <c r="K745" s="4" t="str" cm="1">
        <f t="array" ref="K745">MID(A745,MAX(IFERROR(FIND({"省","市","区","县"},A745),0))+1,FIND("街道",A745)-MAX(IFERROR(FIND({"省","市","区","县"},A745),0))-1+2)</f>
        <v>三水街道</v>
      </c>
      <c r="M745" s="4" t="str" cm="1">
        <f t="array" ref="M745">MID(A745,MAX(IFERROR(FIND({"省"},A745),0),IFERROR(FIND({"市"},A745),0),IFERROR(FIND({"区"},A745),0),IFERROR(FIND({"县"},A745),0))+1,FIND("街道",A745)-MAX(IFERROR(FIND({"省"},A745),0),IFERROR(FIND({"市"},A745),0),IFERROR(FIND({"区"},A745),0),IFERROR(FIND({"县"},A745),0))-1+2)</f>
        <v>三水街道</v>
      </c>
      <c r="O745" s="4" t="str" cm="1">
        <f t="array" ref="O745">_xlfn.LET(_xlpm.fullText,A745,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45" s="4" t="str" cm="1">
        <f t="array" ref="Q745">_xlfn.LET(_xlpm.fullText,A745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46" spans="1:17">
      <c r="A746" s="3" t="s">
        <v>353</v>
      </c>
      <c r="K746" s="4" t="str" cm="1">
        <f t="array" ref="K746">MID(A746,MAX(IFERROR(FIND({"省","市","区","县"},A746),0))+1,FIND("街道",A746)-MAX(IFERROR(FIND({"省","市","区","县"},A746),0))-1+2)</f>
        <v>段庄街道</v>
      </c>
      <c r="M746" s="4" t="str" cm="1">
        <f t="array" ref="M746">MID(A746,MAX(IFERROR(FIND({"省"},A746),0),IFERROR(FIND({"市"},A746),0),IFERROR(FIND({"区"},A746),0),IFERROR(FIND({"县"},A746),0))+1,FIND("街道",A746)-MAX(IFERROR(FIND({"省"},A746),0),IFERROR(FIND({"市"},A746),0),IFERROR(FIND({"区"},A746),0),IFERROR(FIND({"县"},A746),0))-1+2)</f>
        <v>段庄街道</v>
      </c>
      <c r="O746" s="4" t="str" cm="1">
        <f t="array" ref="O746">_xlfn.LET(_xlpm.fullText,A746,_xlpm.streetPos,FIND("街道",_xlpm.fullText)+2,_xlpm.prefixText,LEFT(_xlpm.fullText,_xlpm.streetPos-1),_xlpm.adminPos,MAX(IFERROR(FIND({"省","市","区","县"},_xlpm.prefixText),0)),IF(_xlpm.adminPos&gt;0,MID(_xlpm.prefixText,_xlpm.adminPos+1,_xlpm.streetPos-_xlpm.adminPos-3+2),LEFT(_xlpm.prefixText,FIND("街道",_xlpm.prefixText)-1+2)))</f>
        <v>段庄街道</v>
      </c>
      <c r="Q746" s="4" t="str" cm="1">
        <f t="array" ref="Q746">_xlfn.LET(_xlpm.fullText,A746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段庄街道</v>
      </c>
    </row>
    <row r="747" spans="1:17">
      <c r="A747" s="3" t="s">
        <v>354</v>
      </c>
      <c r="K747" s="4" t="str" cm="1">
        <f t="array" ref="K747">MID(A747,MAX(IFERROR(FIND({"省","市","区","县"},A747),0))+1,FIND("街道",A747)-MAX(IFERROR(FIND({"省","市","区","县"},A747),0))-1+2)</f>
        <v>三水街道</v>
      </c>
      <c r="M747" s="4" t="str" cm="1">
        <f t="array" ref="M747">MID(A747,MAX(IFERROR(FIND({"省"},A747),0),IFERROR(FIND({"市"},A747),0),IFERROR(FIND({"区"},A747),0),IFERROR(FIND({"县"},A747),0))+1,FIND("街道",A747)-MAX(IFERROR(FIND({"省"},A747),0),IFERROR(FIND({"市"},A747),0),IFERROR(FIND({"区"},A747),0),IFERROR(FIND({"县"},A747),0))-1+2)</f>
        <v>三水街道</v>
      </c>
      <c r="O747" s="4" t="str" cm="1">
        <f t="array" ref="O747">_xlfn.LET(_xlpm.fullText,A747,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47" s="4" t="str" cm="1">
        <f t="array" ref="Q747">_xlfn.LET(_xlpm.fullText,A747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48" spans="1:17">
      <c r="A748" s="3" t="s">
        <v>355</v>
      </c>
      <c r="K748" s="4" t="str" cm="1">
        <f t="array" ref="K748">MID(A748,MAX(IFERROR(FIND({"省","市","区","县"},A748),0))+1,FIND("街道",A748)-MAX(IFERROR(FIND({"省","市","区","县"},A748),0))-1+2)</f>
        <v>三水街道</v>
      </c>
      <c r="M748" s="4" t="str" cm="1">
        <f t="array" ref="M748">MID(A748,MAX(IFERROR(FIND({"省"},A748),0),IFERROR(FIND({"市"},A748),0),IFERROR(FIND({"区"},A748),0),IFERROR(FIND({"县"},A748),0))+1,FIND("街道",A748)-MAX(IFERROR(FIND({"省"},A748),0),IFERROR(FIND({"市"},A748),0),IFERROR(FIND({"区"},A748),0),IFERROR(FIND({"县"},A748),0))-1+2)</f>
        <v>三水街道</v>
      </c>
      <c r="O748" s="4" t="str" cm="1">
        <f t="array" ref="O748">_xlfn.LET(_xlpm.fullText,A748,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48" s="4" t="str" cm="1">
        <f t="array" ref="Q748">_xlfn.LET(_xlpm.fullText,A748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49" ht="28.8" spans="1:17">
      <c r="A749" s="3" t="s">
        <v>342</v>
      </c>
      <c r="K749" s="4" t="str" cm="1">
        <f t="array" ref="K749">MID(A749,MAX(IFERROR(FIND({"省","市","区","县"},A749),0))+1,FIND("街道",A749)-MAX(IFERROR(FIND({"省","市","区","县"},A749),0))-1+2)</f>
        <v>常熟市琴川街道</v>
      </c>
      <c r="M749" s="4" t="str" cm="1">
        <f t="array" ref="M749">MID(A749,MAX(IFERROR(FIND({"省"},A749),0),IFERROR(FIND({"市"},A749),0),IFERROR(FIND({"区"},A749),0),IFERROR(FIND({"县"},A749),0))+1,FIND("街道",A749)-MAX(IFERROR(FIND({"省"},A749),0),IFERROR(FIND({"市"},A749),0),IFERROR(FIND({"区"},A749),0),IFERROR(FIND({"县"},A749),0))-1+2)</f>
        <v>常熟市琴川街道</v>
      </c>
      <c r="O749" s="4" t="str" cm="1">
        <f t="array" ref="O749">_xlfn.LET(_xlpm.fullText,A749,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49" s="4" t="str" cm="1">
        <f t="array" ref="Q749">_xlfn.LET(_xlpm.fullText,A749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50" ht="28.8" spans="1:17">
      <c r="A750" s="3" t="s">
        <v>352</v>
      </c>
      <c r="K750" s="4" t="e" cm="1">
        <f t="array" ref="K750">MID(A750,MAX(IFERROR(FIND({"省","市","区","县"},A750),0))+1,FIND("街道",A750)-MAX(IFERROR(FIND({"省","市","区","县"},A750),0))-1+2)</f>
        <v>#VALUE!</v>
      </c>
      <c r="M750" s="4" t="e" cm="1">
        <f t="array" ref="M750">MID(A750,MAX(IFERROR(FIND({"省"},A750),0),IFERROR(FIND({"市"},A750),0),IFERROR(FIND({"区"},A750),0),IFERROR(FIND({"县"},A750),0))+1,FIND("街道",A750)-MAX(IFERROR(FIND({"省"},A750),0),IFERROR(FIND({"市"},A750),0),IFERROR(FIND({"区"},A750),0),IFERROR(FIND({"县"},A750),0))-1+2)</f>
        <v>#VALUE!</v>
      </c>
      <c r="O750" s="4" t="str" cm="1">
        <f t="array" ref="O750">_xlfn.LET(_xlpm.fullText,A750,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50" s="4" t="str" cm="1">
        <f t="array" ref="Q750">_xlfn.LET(_xlpm.fullText,A750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51" spans="1:17">
      <c r="A751" s="3" t="s">
        <v>356</v>
      </c>
      <c r="K751" s="4" t="str" cm="1">
        <f t="array" ref="K751">MID(A751,MAX(IFERROR(FIND({"省","市","区","县"},A751),0))+1,FIND("街道",A751)-MAX(IFERROR(FIND({"省","市","区","县"},A751),0))-1+2)</f>
        <v>长安街道</v>
      </c>
      <c r="M751" s="4" t="str" cm="1">
        <f t="array" ref="M751">MID(A751,MAX(IFERROR(FIND({"省"},A751),0),IFERROR(FIND({"市"},A751),0),IFERROR(FIND({"区"},A751),0),IFERROR(FIND({"县"},A751),0))+1,FIND("街道",A751)-MAX(IFERROR(FIND({"省"},A751),0),IFERROR(FIND({"市"},A751),0),IFERROR(FIND({"区"},A751),0),IFERROR(FIND({"县"},A751),0))-1+2)</f>
        <v>长安街道</v>
      </c>
      <c r="O751" s="4" t="str" cm="1">
        <f t="array" ref="O751">_xlfn.LET(_xlpm.fullText,A751,_xlpm.streetPos,FIND("街道",_xlpm.fullText)+2,_xlpm.prefixText,LEFT(_xlpm.fullText,_xlpm.streetPos-1),_xlpm.adminPos,MAX(IFERROR(FIND({"省","市","区","县"},_xlpm.prefixText),0)),IF(_xlpm.adminPos&gt;0,MID(_xlpm.prefixText,_xlpm.adminPos+1,_xlpm.streetPos-_xlpm.adminPos-3+2),LEFT(_xlpm.prefixText,FIND("街道",_xlpm.prefixText)-1+2)))</f>
        <v>长安街道</v>
      </c>
      <c r="Q751" s="4" t="str" cm="1">
        <f t="array" ref="Q751">_xlfn.LET(_xlpm.fullText,A751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长安街道</v>
      </c>
    </row>
    <row r="752" ht="28.8" spans="1:17">
      <c r="A752" s="3" t="s">
        <v>342</v>
      </c>
      <c r="K752" s="4" t="str" cm="1">
        <f t="array" ref="K752">MID(A752,MAX(IFERROR(FIND({"省","市","区","县"},A752),0))+1,FIND("街道",A752)-MAX(IFERROR(FIND({"省","市","区","县"},A752),0))-1+2)</f>
        <v>常熟市琴川街道</v>
      </c>
      <c r="M752" s="4" t="str" cm="1">
        <f t="array" ref="M752">MID(A752,MAX(IFERROR(FIND({"省"},A752),0),IFERROR(FIND({"市"},A752),0),IFERROR(FIND({"区"},A752),0),IFERROR(FIND({"县"},A752),0))+1,FIND("街道",A752)-MAX(IFERROR(FIND({"省"},A752),0),IFERROR(FIND({"市"},A752),0),IFERROR(FIND({"区"},A752),0),IFERROR(FIND({"县"},A752),0))-1+2)</f>
        <v>常熟市琴川街道</v>
      </c>
      <c r="O752" s="4" t="str" cm="1">
        <f t="array" ref="O752">_xlfn.LET(_xlpm.fullText,A752,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52" s="4" t="str" cm="1">
        <f t="array" ref="Q752">_xlfn.LET(_xlpm.fullText,A752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53" spans="1:17">
      <c r="A753" s="3" t="s">
        <v>357</v>
      </c>
      <c r="K753" s="4" t="str" cm="1">
        <f t="array" ref="K753">MID(A753,MAX(IFERROR(FIND({"省","市","区","县"},A753),0))+1,FIND("街道",A753)-MAX(IFERROR(FIND({"省","市","区","县"},A753),0))-1+2)</f>
        <v>海沧街道</v>
      </c>
      <c r="M753" s="4" t="str" cm="1">
        <f t="array" ref="M753">MID(A753,MAX(IFERROR(FIND({"省"},A753),0),IFERROR(FIND({"市"},A753),0),IFERROR(FIND({"区"},A753),0),IFERROR(FIND({"县"},A753),0))+1,FIND("街道",A753)-MAX(IFERROR(FIND({"省"},A753),0),IFERROR(FIND({"市"},A753),0),IFERROR(FIND({"区"},A753),0),IFERROR(FIND({"县"},A753),0))-1+2)</f>
        <v>海沧街道</v>
      </c>
      <c r="O753" s="4" t="str" cm="1">
        <f t="array" ref="O753">_xlfn.LET(_xlpm.fullText,A753,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753" s="4" t="str" cm="1">
        <f t="array" ref="Q753">_xlfn.LET(_xlpm.fullText,A753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754" ht="28.8" spans="1:17">
      <c r="A754" s="3" t="s">
        <v>352</v>
      </c>
      <c r="K754" s="4" t="e" cm="1">
        <f t="array" ref="K754">MID(A754,MAX(IFERROR(FIND({"省","市","区","县"},A754),0))+1,FIND("街道",A754)-MAX(IFERROR(FIND({"省","市","区","县"},A754),0))-1+2)</f>
        <v>#VALUE!</v>
      </c>
      <c r="M754" s="4" t="e" cm="1">
        <f t="array" ref="M754">MID(A754,MAX(IFERROR(FIND({"省"},A754),0),IFERROR(FIND({"市"},A754),0),IFERROR(FIND({"区"},A754),0),IFERROR(FIND({"县"},A754),0))+1,FIND("街道",A754)-MAX(IFERROR(FIND({"省"},A754),0),IFERROR(FIND({"市"},A754),0),IFERROR(FIND({"区"},A754),0),IFERROR(FIND({"县"},A754),0))-1+2)</f>
        <v>#VALUE!</v>
      </c>
      <c r="O754" s="4" t="str" cm="1">
        <f t="array" ref="O754">_xlfn.LET(_xlpm.fullText,A754,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54" s="4" t="str" cm="1">
        <f t="array" ref="Q754">_xlfn.LET(_xlpm.fullText,A754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55" ht="28.8" spans="1:17">
      <c r="A755" s="3" t="s">
        <v>346</v>
      </c>
      <c r="K755" s="4" t="str" cm="1">
        <f t="array" ref="K755">MID(A755,MAX(IFERROR(FIND({"省","市","区","县"},A755),0))+1,FIND("街道",A755)-MAX(IFERROR(FIND({"省","市","区","县"},A755),0))-1+2)</f>
        <v>金山桥街道</v>
      </c>
      <c r="M755" s="4" t="str" cm="1">
        <f t="array" ref="M755">MID(A755,MAX(IFERROR(FIND({"省"},A755),0),IFERROR(FIND({"市"},A755),0),IFERROR(FIND({"区"},A755),0),IFERROR(FIND({"县"},A755),0))+1,FIND("街道",A755)-MAX(IFERROR(FIND({"省"},A755),0),IFERROR(FIND({"市"},A755),0),IFERROR(FIND({"区"},A755),0),IFERROR(FIND({"县"},A755),0))-1+2)</f>
        <v>金山桥街道</v>
      </c>
      <c r="O755" s="4" t="str" cm="1">
        <f t="array" ref="O755">_xlfn.LET(_xlpm.fullText,A755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755" s="4" t="str" cm="1">
        <f t="array" ref="Q755">_xlfn.LET(_xlpm.fullText,A755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756" ht="28.8" spans="1:17">
      <c r="A756" s="3" t="s">
        <v>342</v>
      </c>
      <c r="K756" s="4" t="str" cm="1">
        <f t="array" ref="K756">MID(A756,MAX(IFERROR(FIND({"省","市","区","县"},A756),0))+1,FIND("街道",A756)-MAX(IFERROR(FIND({"省","市","区","县"},A756),0))-1+2)</f>
        <v>常熟市琴川街道</v>
      </c>
      <c r="M756" s="4" t="str" cm="1">
        <f t="array" ref="M756">MID(A756,MAX(IFERROR(FIND({"省"},A756),0),IFERROR(FIND({"市"},A756),0),IFERROR(FIND({"区"},A756),0),IFERROR(FIND({"县"},A756),0))+1,FIND("街道",A756)-MAX(IFERROR(FIND({"省"},A756),0),IFERROR(FIND({"市"},A756),0),IFERROR(FIND({"区"},A756),0),IFERROR(FIND({"县"},A756),0))-1+2)</f>
        <v>常熟市琴川街道</v>
      </c>
      <c r="O756" s="4" t="str" cm="1">
        <f t="array" ref="O756">_xlfn.LET(_xlpm.fullText,A756,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56" s="4" t="str" cm="1">
        <f t="array" ref="Q756">_xlfn.LET(_xlpm.fullText,A756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57" spans="1:17">
      <c r="A757" s="3" t="s">
        <v>348</v>
      </c>
      <c r="K757" s="4" t="str" cm="1">
        <f t="array" ref="K757">MID(A757,MAX(IFERROR(FIND({"省","市","区","县"},A757),0))+1,FIND("街道",A757)-MAX(IFERROR(FIND({"省","市","区","县"},A757),0))-1+2)</f>
        <v>沥海街道</v>
      </c>
      <c r="M757" s="4" t="str" cm="1">
        <f t="array" ref="M757">MID(A757,MAX(IFERROR(FIND({"省"},A757),0),IFERROR(FIND({"市"},A757),0),IFERROR(FIND({"区"},A757),0),IFERROR(FIND({"县"},A757),0))+1,FIND("街道",A757)-MAX(IFERROR(FIND({"省"},A757),0),IFERROR(FIND({"市"},A757),0),IFERROR(FIND({"区"},A757),0),IFERROR(FIND({"县"},A757),0))-1+2)</f>
        <v>沥海街道</v>
      </c>
      <c r="O757" s="4" t="str" cm="1">
        <f t="array" ref="O757">_xlfn.LET(_xlpm.fullText,A757,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57" s="4" t="str" cm="1">
        <f t="array" ref="Q757">_xlfn.LET(_xlpm.fullText,A757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58" ht="28.8" spans="1:17">
      <c r="A758" s="3" t="s">
        <v>358</v>
      </c>
      <c r="K758" s="4" t="e" cm="1">
        <f t="array" ref="K758">MID(A758,MAX(IFERROR(FIND({"省","市","区","县"},A758),0))+1,FIND("街道",A758)-MAX(IFERROR(FIND({"省","市","区","县"},A758),0))-1+2)</f>
        <v>#VALUE!</v>
      </c>
      <c r="M758" s="4" t="e" cm="1">
        <f t="array" ref="M758">MID(A758,MAX(IFERROR(FIND({"省"},A758),0),IFERROR(FIND({"市"},A758),0),IFERROR(FIND({"区"},A758),0),IFERROR(FIND({"县"},A758),0))+1,FIND("街道",A758)-MAX(IFERROR(FIND({"省"},A758),0),IFERROR(FIND({"市"},A758),0),IFERROR(FIND({"区"},A758),0),IFERROR(FIND({"县"},A758),0))-1+2)</f>
        <v>#VALUE!</v>
      </c>
      <c r="O758" s="4" t="str" cm="1">
        <f t="array" ref="O758">_xlfn.LET(_xlpm.fullText,A758,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58" s="4" t="str" cm="1">
        <f t="array" ref="Q758">_xlfn.LET(_xlpm.fullText,A758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59" ht="28.8" spans="1:17">
      <c r="A759" s="3" t="s">
        <v>352</v>
      </c>
      <c r="K759" s="4" t="e" cm="1">
        <f t="array" ref="K759">MID(A759,MAX(IFERROR(FIND({"省","市","区","县"},A759),0))+1,FIND("街道",A759)-MAX(IFERROR(FIND({"省","市","区","县"},A759),0))-1+2)</f>
        <v>#VALUE!</v>
      </c>
      <c r="M759" s="4" t="e" cm="1">
        <f t="array" ref="M759">MID(A759,MAX(IFERROR(FIND({"省"},A759),0),IFERROR(FIND({"市"},A759),0),IFERROR(FIND({"区"},A759),0),IFERROR(FIND({"县"},A759),0))+1,FIND("街道",A759)-MAX(IFERROR(FIND({"省"},A759),0),IFERROR(FIND({"市"},A759),0),IFERROR(FIND({"区"},A759),0),IFERROR(FIND({"县"},A759),0))-1+2)</f>
        <v>#VALUE!</v>
      </c>
      <c r="O759" s="4" t="str" cm="1">
        <f t="array" ref="O759">_xlfn.LET(_xlpm.fullText,A759,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59" s="4" t="str" cm="1">
        <f t="array" ref="Q759">_xlfn.LET(_xlpm.fullText,A759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60" ht="28.8" spans="1:17">
      <c r="A760" s="3" t="s">
        <v>359</v>
      </c>
      <c r="K760" s="4" t="str" cm="1">
        <f t="array" ref="K760">MID(A760,MAX(IFERROR(FIND({"省","市","区","县"},A760),0))+1,FIND("街道",A760)-MAX(IFERROR(FIND({"省","市","区","县"},A760),0))-1+2)</f>
        <v>常熟市琴川街道</v>
      </c>
      <c r="M760" s="4" t="str" cm="1">
        <f t="array" ref="M760">MID(A760,MAX(IFERROR(FIND({"省"},A760),0),IFERROR(FIND({"市"},A760),0),IFERROR(FIND({"区"},A760),0),IFERROR(FIND({"县"},A760),0))+1,FIND("街道",A760)-MAX(IFERROR(FIND({"省"},A760),0),IFERROR(FIND({"市"},A760),0),IFERROR(FIND({"区"},A760),0),IFERROR(FIND({"县"},A760),0))-1+2)</f>
        <v>常熟市琴川街道</v>
      </c>
      <c r="O760" s="4" t="str" cm="1">
        <f t="array" ref="O760">_xlfn.LET(_xlpm.fullText,A760,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60" s="4" t="str" cm="1">
        <f t="array" ref="Q760">_xlfn.LET(_xlpm.fullText,A760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61" ht="28.8" spans="1:17">
      <c r="A761" s="3" t="s">
        <v>352</v>
      </c>
      <c r="K761" s="4" t="e" cm="1">
        <f t="array" ref="K761">MID(A761,MAX(IFERROR(FIND({"省","市","区","县"},A761),0))+1,FIND("街道",A761)-MAX(IFERROR(FIND({"省","市","区","县"},A761),0))-1+2)</f>
        <v>#VALUE!</v>
      </c>
      <c r="M761" s="4" t="e" cm="1">
        <f t="array" ref="M761">MID(A761,MAX(IFERROR(FIND({"省"},A761),0),IFERROR(FIND({"市"},A761),0),IFERROR(FIND({"区"},A761),0),IFERROR(FIND({"县"},A761),0))+1,FIND("街道",A761)-MAX(IFERROR(FIND({"省"},A761),0),IFERROR(FIND({"市"},A761),0),IFERROR(FIND({"区"},A761),0),IFERROR(FIND({"县"},A761),0))-1+2)</f>
        <v>#VALUE!</v>
      </c>
      <c r="O761" s="4" t="str" cm="1">
        <f t="array" ref="O761">_xlfn.LET(_xlpm.fullText,A761,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61" s="4" t="str" cm="1">
        <f t="array" ref="Q761">_xlfn.LET(_xlpm.fullText,A761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62" spans="1:17">
      <c r="A762" s="3" t="s">
        <v>360</v>
      </c>
      <c r="K762" s="4" t="str" cm="1">
        <f t="array" ref="K762">MID(A762,MAX(IFERROR(FIND({"省","市","区","县"},A762),0))+1,FIND("街道",A762)-MAX(IFERROR(FIND({"省","市","区","县"},A762),0))-1+2)</f>
        <v>胜浦街道</v>
      </c>
      <c r="M762" s="4" t="str" cm="1">
        <f t="array" ref="M762">MID(A762,MAX(IFERROR(FIND({"省"},A762),0),IFERROR(FIND({"市"},A762),0),IFERROR(FIND({"区"},A762),0),IFERROR(FIND({"县"},A762),0))+1,FIND("街道",A762)-MAX(IFERROR(FIND({"省"},A762),0),IFERROR(FIND({"市"},A762),0),IFERROR(FIND({"区"},A762),0),IFERROR(FIND({"县"},A762),0))-1+2)</f>
        <v>胜浦街道</v>
      </c>
      <c r="O762" s="4" t="str" cm="1">
        <f t="array" ref="O762">_xlfn.LET(_xlpm.fullText,A762,_xlpm.streetPos,FIND("街道",_xlpm.fullText)+2,_xlpm.prefixText,LEFT(_xlpm.fullText,_xlpm.streetPos-1),_xlpm.adminPos,MAX(IFERROR(FIND({"省","市","区","县"},_xlpm.prefixText),0)),IF(_xlpm.adminPos&gt;0,MID(_xlpm.prefixText,_xlpm.adminPos+1,_xlpm.streetPos-_xlpm.adminPos-3+2),LEFT(_xlpm.prefixText,FIND("街道",_xlpm.prefixText)-1+2)))</f>
        <v>胜浦街道</v>
      </c>
      <c r="Q762" s="4" t="str" cm="1">
        <f t="array" ref="Q762">_xlfn.LET(_xlpm.fullText,A762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胜浦街道</v>
      </c>
    </row>
    <row r="763" ht="28.8" spans="1:17">
      <c r="A763" s="3" t="s">
        <v>342</v>
      </c>
      <c r="K763" s="4" t="str" cm="1">
        <f t="array" ref="K763">MID(A763,MAX(IFERROR(FIND({"省","市","区","县"},A763),0))+1,FIND("街道",A763)-MAX(IFERROR(FIND({"省","市","区","县"},A763),0))-1+2)</f>
        <v>常熟市琴川街道</v>
      </c>
      <c r="M763" s="4" t="str" cm="1">
        <f t="array" ref="M763">MID(A763,MAX(IFERROR(FIND({"省"},A763),0),IFERROR(FIND({"市"},A763),0),IFERROR(FIND({"区"},A763),0),IFERROR(FIND({"县"},A763),0))+1,FIND("街道",A763)-MAX(IFERROR(FIND({"省"},A763),0),IFERROR(FIND({"市"},A763),0),IFERROR(FIND({"区"},A763),0),IFERROR(FIND({"县"},A763),0))-1+2)</f>
        <v>常熟市琴川街道</v>
      </c>
      <c r="O763" s="4" t="str" cm="1">
        <f t="array" ref="O763">_xlfn.LET(_xlpm.fullText,A763,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63" s="4" t="str" cm="1">
        <f t="array" ref="Q763">_xlfn.LET(_xlpm.fullText,A763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64" spans="1:17">
      <c r="A764" s="3" t="s">
        <v>361</v>
      </c>
      <c r="K764" s="4" t="str" cm="1">
        <f t="array" ref="K764">MID(A764,MAX(IFERROR(FIND({"省","市","区","县"},A764),0))+1,FIND("街道",A764)-MAX(IFERROR(FIND({"省","市","区","县"},A764),0))-1+2)</f>
        <v>唯亭街道</v>
      </c>
      <c r="M764" s="4" t="str" cm="1">
        <f t="array" ref="M764">MID(A764,MAX(IFERROR(FIND({"省"},A764),0),IFERROR(FIND({"市"},A764),0),IFERROR(FIND({"区"},A764),0),IFERROR(FIND({"县"},A764),0))+1,FIND("街道",A764)-MAX(IFERROR(FIND({"省"},A764),0),IFERROR(FIND({"市"},A764),0),IFERROR(FIND({"区"},A764),0),IFERROR(FIND({"县"},A764),0))-1+2)</f>
        <v>唯亭街道</v>
      </c>
      <c r="O764" s="4" t="str" cm="1">
        <f t="array" ref="O764">_xlfn.LET(_xlpm.fullText,A764,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64" s="4" t="str" cm="1">
        <f t="array" ref="Q764">_xlfn.LET(_xlpm.fullText,A764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65" ht="28.8" spans="1:17">
      <c r="A765" s="3" t="s">
        <v>358</v>
      </c>
      <c r="K765" s="4" t="e" cm="1">
        <f t="array" ref="K765">MID(A765,MAX(IFERROR(FIND({"省","市","区","县"},A765),0))+1,FIND("街道",A765)-MAX(IFERROR(FIND({"省","市","区","县"},A765),0))-1+2)</f>
        <v>#VALUE!</v>
      </c>
      <c r="M765" s="4" t="e" cm="1">
        <f t="array" ref="M765">MID(A765,MAX(IFERROR(FIND({"省"},A765),0),IFERROR(FIND({"市"},A765),0),IFERROR(FIND({"区"},A765),0),IFERROR(FIND({"县"},A765),0))+1,FIND("街道",A765)-MAX(IFERROR(FIND({"省"},A765),0),IFERROR(FIND({"市"},A765),0),IFERROR(FIND({"区"},A765),0),IFERROR(FIND({"县"},A765),0))-1+2)</f>
        <v>#VALUE!</v>
      </c>
      <c r="O765" s="4" t="str" cm="1">
        <f t="array" ref="O765">_xlfn.LET(_xlpm.fullText,A765,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65" s="4" t="str" cm="1">
        <f t="array" ref="Q765">_xlfn.LET(_xlpm.fullText,A765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66" ht="28.8" spans="1:17">
      <c r="A766" s="3" t="s">
        <v>352</v>
      </c>
      <c r="K766" s="4" t="e" cm="1">
        <f t="array" ref="K766">MID(A766,MAX(IFERROR(FIND({"省","市","区","县"},A766),0))+1,FIND("街道",A766)-MAX(IFERROR(FIND({"省","市","区","县"},A766),0))-1+2)</f>
        <v>#VALUE!</v>
      </c>
      <c r="M766" s="4" t="e" cm="1">
        <f t="array" ref="M766">MID(A766,MAX(IFERROR(FIND({"省"},A766),0),IFERROR(FIND({"市"},A766),0),IFERROR(FIND({"区"},A766),0),IFERROR(FIND({"县"},A766),0))+1,FIND("街道",A766)-MAX(IFERROR(FIND({"省"},A766),0),IFERROR(FIND({"市"},A766),0),IFERROR(FIND({"区"},A766),0),IFERROR(FIND({"县"},A766),0))-1+2)</f>
        <v>#VALUE!</v>
      </c>
      <c r="O766" s="4" t="str" cm="1">
        <f t="array" ref="O766">_xlfn.LET(_xlpm.fullText,A766,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66" s="4" t="str" cm="1">
        <f t="array" ref="Q766">_xlfn.LET(_xlpm.fullText,A766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67" spans="1:17">
      <c r="A767" s="3" t="s">
        <v>362</v>
      </c>
      <c r="K767" s="4" t="str" cm="1">
        <f t="array" ref="K767">MID(A767,MAX(IFERROR(FIND({"省","市","区","县"},A767),0))+1,FIND("街道",A767)-MAX(IFERROR(FIND({"省","市","区","县"},A767),0))-1+2)</f>
        <v>唯亭街道</v>
      </c>
      <c r="M767" s="4" t="str" cm="1">
        <f t="array" ref="M767">MID(A767,MAX(IFERROR(FIND({"省"},A767),0),IFERROR(FIND({"市"},A767),0),IFERROR(FIND({"区"},A767),0),IFERROR(FIND({"县"},A767),0))+1,FIND("街道",A767)-MAX(IFERROR(FIND({"省"},A767),0),IFERROR(FIND({"市"},A767),0),IFERROR(FIND({"区"},A767),0),IFERROR(FIND({"县"},A767),0))-1+2)</f>
        <v>唯亭街道</v>
      </c>
      <c r="O767" s="4" t="str" cm="1">
        <f t="array" ref="O767">_xlfn.LET(_xlpm.fullText,A767,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67" s="4" t="str" cm="1">
        <f t="array" ref="Q767">_xlfn.LET(_xlpm.fullText,A767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68" spans="1:17">
      <c r="A768" s="3" t="s">
        <v>363</v>
      </c>
      <c r="K768" s="4" t="str" cm="1">
        <f t="array" ref="K768">MID(A768,MAX(IFERROR(FIND({"省","市","区","县"},A768),0))+1,FIND("街道",A768)-MAX(IFERROR(FIND({"省","市","区","县"},A768),0))-1+2)</f>
        <v>中兴街道</v>
      </c>
      <c r="M768" s="4" t="str" cm="1">
        <f t="array" ref="M768">MID(A768,MAX(IFERROR(FIND({"省"},A768),0),IFERROR(FIND({"市"},A768),0),IFERROR(FIND({"区"},A768),0),IFERROR(FIND({"县"},A768),0))+1,FIND("街道",A768)-MAX(IFERROR(FIND({"省"},A768),0),IFERROR(FIND({"市"},A768),0),IFERROR(FIND({"区"},A768),0),IFERROR(FIND({"县"},A768),0))-1+2)</f>
        <v>中兴街道</v>
      </c>
      <c r="O768" s="4" t="str" cm="1">
        <f t="array" ref="O768">_xlfn.LET(_xlpm.fullText,A768,_xlpm.streetPos,FIND("街道",_xlpm.fullText)+2,_xlpm.prefixText,LEFT(_xlpm.fullText,_xlpm.streetPos-1),_xlpm.adminPos,MAX(IFERROR(FIND({"省","市","区","县"},_xlpm.prefixText),0)),IF(_xlpm.adminPos&gt;0,MID(_xlpm.prefixText,_xlpm.adminPos+1,_xlpm.streetPos-_xlpm.adminPos-3+2),LEFT(_xlpm.prefixText,FIND("街道",_xlpm.prefixText)-1+2)))</f>
        <v>中兴街道</v>
      </c>
      <c r="Q768" s="4" t="str" cm="1">
        <f t="array" ref="Q768">_xlfn.LET(_xlpm.fullText,A768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中兴街道</v>
      </c>
    </row>
    <row r="769" spans="1:17">
      <c r="A769" s="3" t="s">
        <v>355</v>
      </c>
      <c r="K769" s="4" t="str" cm="1">
        <f t="array" ref="K769">MID(A769,MAX(IFERROR(FIND({"省","市","区","县"},A769),0))+1,FIND("街道",A769)-MAX(IFERROR(FIND({"省","市","区","县"},A769),0))-1+2)</f>
        <v>三水街道</v>
      </c>
      <c r="M769" s="4" t="str" cm="1">
        <f t="array" ref="M769">MID(A769,MAX(IFERROR(FIND({"省"},A769),0),IFERROR(FIND({"市"},A769),0),IFERROR(FIND({"区"},A769),0),IFERROR(FIND({"县"},A769),0))+1,FIND("街道",A769)-MAX(IFERROR(FIND({"省"},A769),0),IFERROR(FIND({"市"},A769),0),IFERROR(FIND({"区"},A769),0),IFERROR(FIND({"县"},A769),0))-1+2)</f>
        <v>三水街道</v>
      </c>
      <c r="O769" s="4" t="str" cm="1">
        <f t="array" ref="O769">_xlfn.LET(_xlpm.fullText,A769,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69" s="4" t="str" cm="1">
        <f t="array" ref="Q769">_xlfn.LET(_xlpm.fullText,A769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70" spans="1:17">
      <c r="A770" s="3" t="s">
        <v>355</v>
      </c>
      <c r="K770" s="4" t="str" cm="1">
        <f t="array" ref="K770">MID(A770,MAX(IFERROR(FIND({"省","市","区","县"},A770),0))+1,FIND("街道",A770)-MAX(IFERROR(FIND({"省","市","区","县"},A770),0))-1+2)</f>
        <v>三水街道</v>
      </c>
      <c r="M770" s="4" t="str" cm="1">
        <f t="array" ref="M770">MID(A770,MAX(IFERROR(FIND({"省"},A770),0),IFERROR(FIND({"市"},A770),0),IFERROR(FIND({"区"},A770),0),IFERROR(FIND({"县"},A770),0))+1,FIND("街道",A770)-MAX(IFERROR(FIND({"省"},A770),0),IFERROR(FIND({"市"},A770),0),IFERROR(FIND({"区"},A770),0),IFERROR(FIND({"县"},A770),0))-1+2)</f>
        <v>三水街道</v>
      </c>
      <c r="O770" s="4" t="str" cm="1">
        <f t="array" ref="O770">_xlfn.LET(_xlpm.fullText,A770,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70" s="4" t="str" cm="1">
        <f t="array" ref="Q770">_xlfn.LET(_xlpm.fullText,A770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71" spans="1:17">
      <c r="A771" s="3" t="s">
        <v>345</v>
      </c>
      <c r="K771" s="4" t="str" cm="1">
        <f t="array" ref="K771">MID(A771,MAX(IFERROR(FIND({"省","市","区","县"},A771),0))+1,FIND("街道",A771)-MAX(IFERROR(FIND({"省","市","区","县"},A771),0))-1+2)</f>
        <v>火花街道</v>
      </c>
      <c r="M771" s="4" t="str" cm="1">
        <f t="array" ref="M771">MID(A771,MAX(IFERROR(FIND({"省"},A771),0),IFERROR(FIND({"市"},A771),0),IFERROR(FIND({"区"},A771),0),IFERROR(FIND({"县"},A771),0))+1,FIND("街道",A771)-MAX(IFERROR(FIND({"省"},A771),0),IFERROR(FIND({"市"},A771),0),IFERROR(FIND({"区"},A771),0),IFERROR(FIND({"县"},A771),0))-1+2)</f>
        <v>火花街道</v>
      </c>
      <c r="O771" s="4" t="str" cm="1">
        <f t="array" ref="O771">_xlfn.LET(_xlpm.fullText,A771,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71" s="4" t="str" cm="1">
        <f t="array" ref="Q771">_xlfn.LET(_xlpm.fullText,A771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72" spans="1:17">
      <c r="A772" s="3" t="s">
        <v>329</v>
      </c>
      <c r="K772" s="4" t="str" cm="1">
        <f t="array" ref="K772">MID(A772,MAX(IFERROR(FIND({"省","市","区","县"},A772),0))+1,FIND("街道",A772)-MAX(IFERROR(FIND({"省","市","区","县"},A772),0))-1+2)</f>
        <v>三水街道</v>
      </c>
      <c r="M772" s="4" t="str" cm="1">
        <f t="array" ref="M772">MID(A772,MAX(IFERROR(FIND({"省"},A772),0),IFERROR(FIND({"市"},A772),0),IFERROR(FIND({"区"},A772),0),IFERROR(FIND({"县"},A772),0))+1,FIND("街道",A772)-MAX(IFERROR(FIND({"省"},A772),0),IFERROR(FIND({"市"},A772),0),IFERROR(FIND({"区"},A772),0),IFERROR(FIND({"县"},A772),0))-1+2)</f>
        <v>三水街道</v>
      </c>
      <c r="O772" s="4" t="str" cm="1">
        <f t="array" ref="O772">_xlfn.LET(_xlpm.fullText,A772,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72" s="4" t="str" cm="1">
        <f t="array" ref="Q772">_xlfn.LET(_xlpm.fullText,A772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73" spans="1:17">
      <c r="A773" s="3" t="s">
        <v>364</v>
      </c>
      <c r="K773" s="4" t="str" cm="1">
        <f t="array" ref="K773">MID(A773,MAX(IFERROR(FIND({"省","市","区","县"},A773),0))+1,FIND("街道",A773)-MAX(IFERROR(FIND({"省","市","区","县"},A773),0))-1+2)</f>
        <v>三水街道</v>
      </c>
      <c r="M773" s="4" t="str" cm="1">
        <f t="array" ref="M773">MID(A773,MAX(IFERROR(FIND({"省"},A773),0),IFERROR(FIND({"市"},A773),0),IFERROR(FIND({"区"},A773),0),IFERROR(FIND({"县"},A773),0))+1,FIND("街道",A773)-MAX(IFERROR(FIND({"省"},A773),0),IFERROR(FIND({"市"},A773),0),IFERROR(FIND({"区"},A773),0),IFERROR(FIND({"县"},A773),0))-1+2)</f>
        <v>三水街道</v>
      </c>
      <c r="O773" s="4" t="str" cm="1">
        <f t="array" ref="O773">_xlfn.LET(_xlpm.fullText,A773,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73" s="4" t="str" cm="1">
        <f t="array" ref="Q773">_xlfn.LET(_xlpm.fullText,A773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74" ht="28.8" spans="1:17">
      <c r="A774" s="3" t="s">
        <v>352</v>
      </c>
      <c r="K774" s="4" t="e" cm="1">
        <f t="array" ref="K774">MID(A774,MAX(IFERROR(FIND({"省","市","区","县"},A774),0))+1,FIND("街道",A774)-MAX(IFERROR(FIND({"省","市","区","县"},A774),0))-1+2)</f>
        <v>#VALUE!</v>
      </c>
      <c r="M774" s="4" t="e" cm="1">
        <f t="array" ref="M774">MID(A774,MAX(IFERROR(FIND({"省"},A774),0),IFERROR(FIND({"市"},A774),0),IFERROR(FIND({"区"},A774),0),IFERROR(FIND({"县"},A774),0))+1,FIND("街道",A774)-MAX(IFERROR(FIND({"省"},A774),0),IFERROR(FIND({"市"},A774),0),IFERROR(FIND({"区"},A774),0),IFERROR(FIND({"县"},A774),0))-1+2)</f>
        <v>#VALUE!</v>
      </c>
      <c r="O774" s="4" t="str" cm="1">
        <f t="array" ref="O774">_xlfn.LET(_xlpm.fullText,A774,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74" s="4" t="str" cm="1">
        <f t="array" ref="Q774">_xlfn.LET(_xlpm.fullText,A774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75" ht="28.8" spans="1:17">
      <c r="A775" s="3" t="s">
        <v>342</v>
      </c>
      <c r="K775" s="4" t="str" cm="1">
        <f t="array" ref="K775">MID(A775,MAX(IFERROR(FIND({"省","市","区","县"},A775),0))+1,FIND("街道",A775)-MAX(IFERROR(FIND({"省","市","区","县"},A775),0))-1+2)</f>
        <v>常熟市琴川街道</v>
      </c>
      <c r="M775" s="4" t="str" cm="1">
        <f t="array" ref="M775">MID(A775,MAX(IFERROR(FIND({"省"},A775),0),IFERROR(FIND({"市"},A775),0),IFERROR(FIND({"区"},A775),0),IFERROR(FIND({"县"},A775),0))+1,FIND("街道",A775)-MAX(IFERROR(FIND({"省"},A775),0),IFERROR(FIND({"市"},A775),0),IFERROR(FIND({"区"},A775),0),IFERROR(FIND({"县"},A775),0))-1+2)</f>
        <v>常熟市琴川街道</v>
      </c>
      <c r="O775" s="4" t="str" cm="1">
        <f t="array" ref="O775">_xlfn.LET(_xlpm.fullText,A775,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75" s="4" t="str" cm="1">
        <f t="array" ref="Q775">_xlfn.LET(_xlpm.fullText,A775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76" spans="1:17">
      <c r="A776" s="3" t="s">
        <v>362</v>
      </c>
      <c r="K776" s="4" t="str" cm="1">
        <f t="array" ref="K776">MID(A776,MAX(IFERROR(FIND({"省","市","区","县"},A776),0))+1,FIND("街道",A776)-MAX(IFERROR(FIND({"省","市","区","县"},A776),0))-1+2)</f>
        <v>唯亭街道</v>
      </c>
      <c r="M776" s="4" t="str" cm="1">
        <f t="array" ref="M776">MID(A776,MAX(IFERROR(FIND({"省"},A776),0),IFERROR(FIND({"市"},A776),0),IFERROR(FIND({"区"},A776),0),IFERROR(FIND({"县"},A776),0))+1,FIND("街道",A776)-MAX(IFERROR(FIND({"省"},A776),0),IFERROR(FIND({"市"},A776),0),IFERROR(FIND({"区"},A776),0),IFERROR(FIND({"县"},A776),0))-1+2)</f>
        <v>唯亭街道</v>
      </c>
      <c r="O776" s="4" t="str" cm="1">
        <f t="array" ref="O776">_xlfn.LET(_xlpm.fullText,A776,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76" s="4" t="str" cm="1">
        <f t="array" ref="Q776">_xlfn.LET(_xlpm.fullText,A776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77" spans="1:17">
      <c r="A777" s="3" t="s">
        <v>365</v>
      </c>
      <c r="K777" s="4" t="str" cm="1">
        <f t="array" ref="K777">MID(A777,MAX(IFERROR(FIND({"省","市","区","县"},A777),0))+1,FIND("街道",A777)-MAX(IFERROR(FIND({"省","市","区","县"},A777),0))-1+2)</f>
        <v>殿前街道</v>
      </c>
      <c r="M777" s="4" t="str" cm="1">
        <f t="array" ref="M777">MID(A777,MAX(IFERROR(FIND({"省"},A777),0),IFERROR(FIND({"市"},A777),0),IFERROR(FIND({"区"},A777),0),IFERROR(FIND({"县"},A777),0))+1,FIND("街道",A777)-MAX(IFERROR(FIND({"省"},A777),0),IFERROR(FIND({"市"},A777),0),IFERROR(FIND({"区"},A777),0),IFERROR(FIND({"县"},A777),0))-1+2)</f>
        <v>殿前街道</v>
      </c>
      <c r="O777" s="4" t="str" cm="1">
        <f t="array" ref="O777">_xlfn.LET(_xlpm.fullText,A777,_xlpm.streetPos,FIND("街道",_xlpm.fullText)+2,_xlpm.prefixText,LEFT(_xlpm.fullText,_xlpm.streetPos-1),_xlpm.adminPos,MAX(IFERROR(FIND({"省","市","区","县"},_xlpm.prefixText),0)),IF(_xlpm.adminPos&gt;0,MID(_xlpm.prefixText,_xlpm.adminPos+1,_xlpm.streetPos-_xlpm.adminPos-3+2),LEFT(_xlpm.prefixText,FIND("街道",_xlpm.prefixText)-1+2)))</f>
        <v>殿前街道</v>
      </c>
      <c r="Q777" s="4" t="str" cm="1">
        <f t="array" ref="Q777">_xlfn.LET(_xlpm.fullText,A777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殿前街道</v>
      </c>
    </row>
    <row r="778" spans="1:17">
      <c r="A778" s="3" t="s">
        <v>366</v>
      </c>
      <c r="K778" s="4" t="str" cm="1">
        <f t="array" ref="K778">MID(A778,MAX(IFERROR(FIND({"省","市","区","县"},A778),0))+1,FIND("街道",A778)-MAX(IFERROR(FIND({"省","市","区","县"},A778),0))-1+2)</f>
        <v>唯亭街道</v>
      </c>
      <c r="M778" s="4" t="str" cm="1">
        <f t="array" ref="M778">MID(A778,MAX(IFERROR(FIND({"省"},A778),0),IFERROR(FIND({"市"},A778),0),IFERROR(FIND({"区"},A778),0),IFERROR(FIND({"县"},A778),0))+1,FIND("街道",A778)-MAX(IFERROR(FIND({"省"},A778),0),IFERROR(FIND({"市"},A778),0),IFERROR(FIND({"区"},A778),0),IFERROR(FIND({"县"},A778),0))-1+2)</f>
        <v>唯亭街道</v>
      </c>
      <c r="O778" s="4" t="str" cm="1">
        <f t="array" ref="O778">_xlfn.LET(_xlpm.fullText,A778,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78" s="4" t="str" cm="1">
        <f t="array" ref="Q778">_xlfn.LET(_xlpm.fullText,A778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79" spans="1:17">
      <c r="A779" s="3" t="s">
        <v>367</v>
      </c>
      <c r="K779" s="4" t="str" cm="1">
        <f t="array" ref="K779">MID(A779,MAX(IFERROR(FIND({"省","市","区","县"},A779),0))+1,FIND("街道",A779)-MAX(IFERROR(FIND({"省","市","区","县"},A779),0))-1+2)</f>
        <v>唯亭街道</v>
      </c>
      <c r="M779" s="4" t="str" cm="1">
        <f t="array" ref="M779">MID(A779,MAX(IFERROR(FIND({"省"},A779),0),IFERROR(FIND({"市"},A779),0),IFERROR(FIND({"区"},A779),0),IFERROR(FIND({"县"},A779),0))+1,FIND("街道",A779)-MAX(IFERROR(FIND({"省"},A779),0),IFERROR(FIND({"市"},A779),0),IFERROR(FIND({"区"},A779),0),IFERROR(FIND({"县"},A779),0))-1+2)</f>
        <v>唯亭街道</v>
      </c>
      <c r="O779" s="4" t="str" cm="1">
        <f t="array" ref="O779">_xlfn.LET(_xlpm.fullText,A779,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79" s="4" t="str" cm="1">
        <f t="array" ref="Q779">_xlfn.LET(_xlpm.fullText,A779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80" spans="1:17">
      <c r="A780" s="3" t="s">
        <v>367</v>
      </c>
      <c r="K780" s="4" t="str" cm="1">
        <f t="array" ref="K780">MID(A780,MAX(IFERROR(FIND({"省","市","区","县"},A780),0))+1,FIND("街道",A780)-MAX(IFERROR(FIND({"省","市","区","县"},A780),0))-1+2)</f>
        <v>唯亭街道</v>
      </c>
      <c r="M780" s="4" t="str" cm="1">
        <f t="array" ref="M780">MID(A780,MAX(IFERROR(FIND({"省"},A780),0),IFERROR(FIND({"市"},A780),0),IFERROR(FIND({"区"},A780),0),IFERROR(FIND({"县"},A780),0))+1,FIND("街道",A780)-MAX(IFERROR(FIND({"省"},A780),0),IFERROR(FIND({"市"},A780),0),IFERROR(FIND({"区"},A780),0),IFERROR(FIND({"县"},A780),0))-1+2)</f>
        <v>唯亭街道</v>
      </c>
      <c r="O780" s="4" t="str" cm="1">
        <f t="array" ref="O780">_xlfn.LET(_xlpm.fullText,A780,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80" s="4" t="str" cm="1">
        <f t="array" ref="Q780">_xlfn.LET(_xlpm.fullText,A780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81" ht="28.8" spans="1:17">
      <c r="A781" s="3" t="s">
        <v>368</v>
      </c>
      <c r="K781" s="4" t="str" cm="1">
        <f t="array" ref="K781">MID(A781,MAX(IFERROR(FIND({"省","市","区","县"},A781),0))+1,FIND("街道",A781)-MAX(IFERROR(FIND({"省","市","区","县"},A781),0))-1+2)</f>
        <v>常熟市琴川街道</v>
      </c>
      <c r="M781" s="4" t="str" cm="1">
        <f t="array" ref="M781">MID(A781,MAX(IFERROR(FIND({"省"},A781),0),IFERROR(FIND({"市"},A781),0),IFERROR(FIND({"区"},A781),0),IFERROR(FIND({"县"},A781),0))+1,FIND("街道",A781)-MAX(IFERROR(FIND({"省"},A781),0),IFERROR(FIND({"市"},A781),0),IFERROR(FIND({"区"},A781),0),IFERROR(FIND({"县"},A781),0))-1+2)</f>
        <v>常熟市琴川街道</v>
      </c>
      <c r="O781" s="4" t="str" cm="1">
        <f t="array" ref="O781">_xlfn.LET(_xlpm.fullText,A781,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81" s="4" t="str" cm="1">
        <f t="array" ref="Q781">_xlfn.LET(_xlpm.fullText,A781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82" spans="1:17">
      <c r="A782" s="3" t="s">
        <v>369</v>
      </c>
      <c r="K782" s="4" t="str" cm="1">
        <f t="array" ref="K782">MID(A782,MAX(IFERROR(FIND({"省","市","区","县"},A782),0))+1,FIND("街道",A782)-MAX(IFERROR(FIND({"省","市","区","县"},A782),0))-1+2)</f>
        <v>唯亭街道</v>
      </c>
      <c r="M782" s="4" t="str" cm="1">
        <f t="array" ref="M782">MID(A782,MAX(IFERROR(FIND({"省"},A782),0),IFERROR(FIND({"市"},A782),0),IFERROR(FIND({"区"},A782),0),IFERROR(FIND({"县"},A782),0))+1,FIND("街道",A782)-MAX(IFERROR(FIND({"省"},A782),0),IFERROR(FIND({"市"},A782),0),IFERROR(FIND({"区"},A782),0),IFERROR(FIND({"县"},A782),0))-1+2)</f>
        <v>唯亭街道</v>
      </c>
      <c r="O782" s="4" t="str" cm="1">
        <f t="array" ref="O782">_xlfn.LET(_xlpm.fullText,A782,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782" s="4" t="str" cm="1">
        <f t="array" ref="Q782">_xlfn.LET(_xlpm.fullText,A782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783" ht="28.8" spans="1:17">
      <c r="A783" s="3" t="s">
        <v>370</v>
      </c>
      <c r="K783" s="4" t="str" cm="1">
        <f t="array" ref="K783">MID(A783,MAX(IFERROR(FIND({"省","市","区","县"},A783),0))+1,FIND("街道",A783)-MAX(IFERROR(FIND({"省","市","区","县"},A783),0))-1+2)</f>
        <v>常熟市琴川街道</v>
      </c>
      <c r="M783" s="4" t="str" cm="1">
        <f t="array" ref="M783">MID(A783,MAX(IFERROR(FIND({"省"},A783),0),IFERROR(FIND({"市"},A783),0),IFERROR(FIND({"区"},A783),0),IFERROR(FIND({"县"},A783),0))+1,FIND("街道",A783)-MAX(IFERROR(FIND({"省"},A783),0),IFERROR(FIND({"市"},A783),0),IFERROR(FIND({"区"},A783),0),IFERROR(FIND({"县"},A783),0))-1+2)</f>
        <v>常熟市琴川街道</v>
      </c>
      <c r="O783" s="4" t="str" cm="1">
        <f t="array" ref="O783">_xlfn.LET(_xlpm.fullText,A783,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83" s="4" t="str" cm="1">
        <f t="array" ref="Q783">_xlfn.LET(_xlpm.fullText,A783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84" spans="1:17">
      <c r="A784" s="3" t="s">
        <v>371</v>
      </c>
      <c r="K784" s="4" t="str" cm="1">
        <f t="array" ref="K784">MID(A784,MAX(IFERROR(FIND({"省","市","区","县"},A784),0))+1,FIND("街道",A784)-MAX(IFERROR(FIND({"省","市","区","县"},A784),0))-1+2)</f>
        <v>三水街道</v>
      </c>
      <c r="M784" s="4" t="str" cm="1">
        <f t="array" ref="M784">MID(A784,MAX(IFERROR(FIND({"省"},A784),0),IFERROR(FIND({"市"},A784),0),IFERROR(FIND({"区"},A784),0),IFERROR(FIND({"县"},A784),0))+1,FIND("街道",A784)-MAX(IFERROR(FIND({"省"},A784),0),IFERROR(FIND({"市"},A784),0),IFERROR(FIND({"区"},A784),0),IFERROR(FIND({"县"},A784),0))-1+2)</f>
        <v>三水街道</v>
      </c>
      <c r="O784" s="4" t="str" cm="1">
        <f t="array" ref="O784">_xlfn.LET(_xlpm.fullText,A784,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784" s="4" t="str" cm="1">
        <f t="array" ref="Q784">_xlfn.LET(_xlpm.fullText,A784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785" ht="28.8" spans="1:17">
      <c r="A785" s="3" t="s">
        <v>372</v>
      </c>
      <c r="K785" s="4" t="str" cm="1">
        <f t="array" ref="K785">MID(A785,MAX(IFERROR(FIND({"省","市","区","县"},A785),0))+1,FIND("街道",A785)-MAX(IFERROR(FIND({"省","市","区","县"},A785),0))-1+2)</f>
        <v>金山桥街道</v>
      </c>
      <c r="M785" s="4" t="str" cm="1">
        <f t="array" ref="M785">MID(A785,MAX(IFERROR(FIND({"省"},A785),0),IFERROR(FIND({"市"},A785),0),IFERROR(FIND({"区"},A785),0),IFERROR(FIND({"县"},A785),0))+1,FIND("街道",A785)-MAX(IFERROR(FIND({"省"},A785),0),IFERROR(FIND({"市"},A785),0),IFERROR(FIND({"区"},A785),0),IFERROR(FIND({"县"},A785),0))-1+2)</f>
        <v>金山桥街道</v>
      </c>
      <c r="O785" s="4" t="str" cm="1">
        <f t="array" ref="O785">_xlfn.LET(_xlpm.fullText,A785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785" s="4" t="str" cm="1">
        <f t="array" ref="Q785">_xlfn.LET(_xlpm.fullText,A785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786" spans="1:17">
      <c r="A786" s="3" t="s">
        <v>345</v>
      </c>
      <c r="K786" s="4" t="str" cm="1">
        <f t="array" ref="K786">MID(A786,MAX(IFERROR(FIND({"省","市","区","县"},A786),0))+1,FIND("街道",A786)-MAX(IFERROR(FIND({"省","市","区","县"},A786),0))-1+2)</f>
        <v>火花街道</v>
      </c>
      <c r="M786" s="4" t="str" cm="1">
        <f t="array" ref="M786">MID(A786,MAX(IFERROR(FIND({"省"},A786),0),IFERROR(FIND({"市"},A786),0),IFERROR(FIND({"区"},A786),0),IFERROR(FIND({"县"},A786),0))+1,FIND("街道",A786)-MAX(IFERROR(FIND({"省"},A786),0),IFERROR(FIND({"市"},A786),0),IFERROR(FIND({"区"},A786),0),IFERROR(FIND({"县"},A786),0))-1+2)</f>
        <v>火花街道</v>
      </c>
      <c r="O786" s="4" t="str" cm="1">
        <f t="array" ref="O786">_xlfn.LET(_xlpm.fullText,A786,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86" s="4" t="str" cm="1">
        <f t="array" ref="Q786">_xlfn.LET(_xlpm.fullText,A786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87" spans="1:17">
      <c r="A787" s="3" t="s">
        <v>345</v>
      </c>
      <c r="K787" s="4" t="str" cm="1">
        <f t="array" ref="K787">MID(A787,MAX(IFERROR(FIND({"省","市","区","县"},A787),0))+1,FIND("街道",A787)-MAX(IFERROR(FIND({"省","市","区","县"},A787),0))-1+2)</f>
        <v>火花街道</v>
      </c>
      <c r="M787" s="4" t="str" cm="1">
        <f t="array" ref="M787">MID(A787,MAX(IFERROR(FIND({"省"},A787),0),IFERROR(FIND({"市"},A787),0),IFERROR(FIND({"区"},A787),0),IFERROR(FIND({"县"},A787),0))+1,FIND("街道",A787)-MAX(IFERROR(FIND({"省"},A787),0),IFERROR(FIND({"市"},A787),0),IFERROR(FIND({"区"},A787),0),IFERROR(FIND({"县"},A787),0))-1+2)</f>
        <v>火花街道</v>
      </c>
      <c r="O787" s="4" t="str" cm="1">
        <f t="array" ref="O787">_xlfn.LET(_xlpm.fullText,A787,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87" s="4" t="str" cm="1">
        <f t="array" ref="Q787">_xlfn.LET(_xlpm.fullText,A787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88" spans="1:17">
      <c r="A788" s="3" t="s">
        <v>345</v>
      </c>
      <c r="K788" s="4" t="str" cm="1">
        <f t="array" ref="K788">MID(A788,MAX(IFERROR(FIND({"省","市","区","县"},A788),0))+1,FIND("街道",A788)-MAX(IFERROR(FIND({"省","市","区","县"},A788),0))-1+2)</f>
        <v>火花街道</v>
      </c>
      <c r="M788" s="4" t="str" cm="1">
        <f t="array" ref="M788">MID(A788,MAX(IFERROR(FIND({"省"},A788),0),IFERROR(FIND({"市"},A788),0),IFERROR(FIND({"区"},A788),0),IFERROR(FIND({"县"},A788),0))+1,FIND("街道",A788)-MAX(IFERROR(FIND({"省"},A788),0),IFERROR(FIND({"市"},A788),0),IFERROR(FIND({"区"},A788),0),IFERROR(FIND({"县"},A788),0))-1+2)</f>
        <v>火花街道</v>
      </c>
      <c r="O788" s="4" t="str" cm="1">
        <f t="array" ref="O788">_xlfn.LET(_xlpm.fullText,A788,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788" s="4" t="str" cm="1">
        <f t="array" ref="Q788">_xlfn.LET(_xlpm.fullText,A788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789" spans="1:17">
      <c r="A789" s="3" t="s">
        <v>373</v>
      </c>
      <c r="K789" s="4" t="str" cm="1">
        <f t="array" ref="K789">MID(A789,MAX(IFERROR(FIND({"省","市","区","县"},A789),0))+1,FIND("街道",A789)-MAX(IFERROR(FIND({"省","市","区","县"},A789),0))-1+2)</f>
        <v>东坎街道</v>
      </c>
      <c r="M789" s="4" t="str" cm="1">
        <f t="array" ref="M789">MID(A789,MAX(IFERROR(FIND({"省"},A789),0),IFERROR(FIND({"市"},A789),0),IFERROR(FIND({"区"},A789),0),IFERROR(FIND({"县"},A789),0))+1,FIND("街道",A789)-MAX(IFERROR(FIND({"省"},A789),0),IFERROR(FIND({"市"},A789),0),IFERROR(FIND({"区"},A789),0),IFERROR(FIND({"县"},A789),0))-1+2)</f>
        <v>东坎街道</v>
      </c>
      <c r="O789" s="4" t="str" cm="1">
        <f t="array" ref="O789">_xlfn.LET(_xlpm.fullText,A789,_xlpm.streetPos,FIND("街道",_xlpm.fullText)+2,_xlpm.prefixText,LEFT(_xlpm.fullText,_xlpm.streetPos-1),_xlpm.adminPos,MAX(IFERROR(FIND({"省","市","区","县"},_xlpm.prefixText),0)),IF(_xlpm.adminPos&gt;0,MID(_xlpm.prefixText,_xlpm.adminPos+1,_xlpm.streetPos-_xlpm.adminPos-3+2),LEFT(_xlpm.prefixText,FIND("街道",_xlpm.prefixText)-1+2)))</f>
        <v>东坎街道</v>
      </c>
      <c r="Q789" s="4" t="str" cm="1">
        <f t="array" ref="Q789">_xlfn.LET(_xlpm.fullText,A789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东坎街道</v>
      </c>
    </row>
    <row r="790" spans="1:17">
      <c r="A790" s="3" t="s">
        <v>348</v>
      </c>
      <c r="K790" s="4" t="str" cm="1">
        <f t="array" ref="K790">MID(A790,MAX(IFERROR(FIND({"省","市","区","县"},A790),0))+1,FIND("街道",A790)-MAX(IFERROR(FIND({"省","市","区","县"},A790),0))-1+2)</f>
        <v>沥海街道</v>
      </c>
      <c r="M790" s="4" t="str" cm="1">
        <f t="array" ref="M790">MID(A790,MAX(IFERROR(FIND({"省"},A790),0),IFERROR(FIND({"市"},A790),0),IFERROR(FIND({"区"},A790),0),IFERROR(FIND({"县"},A790),0))+1,FIND("街道",A790)-MAX(IFERROR(FIND({"省"},A790),0),IFERROR(FIND({"市"},A790),0),IFERROR(FIND({"区"},A790),0),IFERROR(FIND({"县"},A790),0))-1+2)</f>
        <v>沥海街道</v>
      </c>
      <c r="O790" s="4" t="str" cm="1">
        <f t="array" ref="O790">_xlfn.LET(_xlpm.fullText,A790,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790" s="4" t="str" cm="1">
        <f t="array" ref="Q790">_xlfn.LET(_xlpm.fullText,A790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791" ht="28.8" spans="1:17">
      <c r="A791" s="3" t="s">
        <v>352</v>
      </c>
      <c r="K791" s="4" t="e" cm="1">
        <f t="array" ref="K791">MID(A791,MAX(IFERROR(FIND({"省","市","区","县"},A791),0),IFERROR(FIND({"市"},A791),0))+1,FIND("街道",A791)-MAX(IFERROR(FIND({"省","市","区","县"},A791),0))-1+2)</f>
        <v>#VALUE!</v>
      </c>
      <c r="M791" s="4" t="e" cm="1">
        <f t="array" ref="M791">MID(A791,MAX(IFERROR(FIND({"省"},A791),0),IFERROR(FIND({"市"},A791),0),IFERROR(FIND({"区"},A791),0),IFERROR(FIND({"县"},A791),0))+1,FIND("街道",A791)-MAX(IFERROR(FIND({"省"},A791),0),IFERROR(FIND({"市"},A791),0),IFERROR(FIND({"区"},A791),0),IFERROR(FIND({"县"},A791),0))-1+2)</f>
        <v>#VALUE!</v>
      </c>
      <c r="O791" s="4" t="str" cm="1">
        <f t="array" ref="O791">_xlfn.LET(_xlpm.fullText,A791,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91" s="4" t="str" cm="1">
        <f t="array" ref="Q791">_xlfn.LET(_xlpm.fullText,A791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92" ht="28.8" spans="1:17">
      <c r="A792" s="3" t="s">
        <v>352</v>
      </c>
      <c r="K792" s="4" t="e" cm="1">
        <f t="array" ref="K792">MID(A792,MAX(IFERROR(FIND({"省","市","区","县"},A792),0))+1,FIND("街道",A792)-MAX(IFERROR(FIND({"省","市","区","县"},A792),0))-1+2)</f>
        <v>#VALUE!</v>
      </c>
      <c r="M792" s="4" t="e" cm="1">
        <f t="array" ref="M792">MID(A792,MAX(IFERROR(FIND({"省"},A792),0),IFERROR(FIND({"市"},A792),0),IFERROR(FIND({"区"},A792),0),IFERROR(FIND({"县"},A792),0))+1,FIND("街道",A792)-MAX(IFERROR(FIND({"省"},A792),0),IFERROR(FIND({"市"},A792),0),IFERROR(FIND({"区"},A792),0),IFERROR(FIND({"县"},A792),0))-1+2)</f>
        <v>#VALUE!</v>
      </c>
      <c r="O792" s="4" t="str" cm="1">
        <f t="array" ref="O792">_xlfn.LET(_xlpm.fullText,A792,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92" s="4" t="str" cm="1">
        <f t="array" ref="Q792">_xlfn.LET(_xlpm.fullText,A792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93" ht="28.8" spans="1:17">
      <c r="A793" s="3" t="s">
        <v>342</v>
      </c>
      <c r="K793" s="4" t="str" cm="1">
        <f t="array" ref="K793">MID(A793,MAX(IFERROR(FIND({"省","市","区","县"},A793),0))+1,FIND("街道",A793)-MAX(IFERROR(FIND({"省","市","区","县"},A793),0))-1+2)</f>
        <v>常熟市琴川街道</v>
      </c>
      <c r="M793" s="4" t="str" cm="1">
        <f t="array" ref="M793">MID(A793,MAX(IFERROR(FIND({"省"},A793),0),IFERROR(FIND({"市"},A793),0),IFERROR(FIND({"区"},A793),0),IFERROR(FIND({"县"},A793),0))+1,FIND("街道",A793)-MAX(IFERROR(FIND({"省"},A793),0),IFERROR(FIND({"市"},A793),0),IFERROR(FIND({"区"},A793),0),IFERROR(FIND({"县"},A793),0))-1+2)</f>
        <v>常熟市琴川街道</v>
      </c>
      <c r="O793" s="4" t="str" cm="1">
        <f t="array" ref="O793">_xlfn.LET(_xlpm.fullText,A793,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93" s="4" t="str" cm="1">
        <f t="array" ref="Q793">_xlfn.LET(_xlpm.fullText,A793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94" ht="28.8" spans="1:17">
      <c r="A794" s="3" t="s">
        <v>352</v>
      </c>
      <c r="K794" s="4" t="e" cm="1">
        <f t="array" ref="K794">MID(A794,MAX(IFERROR(FIND({"省","市","区","县"},A794),0))+1,FIND("街道",A794)-MAX(IFERROR(FIND({"省","市","区","县"},A794),0))-1+2)</f>
        <v>#VALUE!</v>
      </c>
      <c r="M794" s="4" t="e" cm="1">
        <f t="array" ref="M794">MID(A794,MAX(IFERROR(FIND({"省"},A794),0),IFERROR(FIND({"市"},A794),0),IFERROR(FIND({"区"},A794),0),IFERROR(FIND({"县"},A794),0))+1,FIND("街道",A794)-MAX(IFERROR(FIND({"省"},A794),0),IFERROR(FIND({"市"},A794),0),IFERROR(FIND({"区"},A794),0),IFERROR(FIND({"县"},A794),0))-1+2)</f>
        <v>#VALUE!</v>
      </c>
      <c r="O794" s="4" t="str" cm="1">
        <f t="array" ref="O794">_xlfn.LET(_xlpm.fullText,A794,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94" s="4" t="str" cm="1">
        <f t="array" ref="Q794">_xlfn.LET(_xlpm.fullText,A794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95" ht="28.8" spans="1:17">
      <c r="A795" s="3" t="s">
        <v>352</v>
      </c>
      <c r="K795" s="4" t="e" cm="1">
        <f t="array" ref="K795">MID(A795,MAX(IFERROR(FIND({"省","市","区","县"},A795),0))+1,FIND("街道",A795)-MAX(IFERROR(FIND({"省","市","区","县"},A795),0))-1+2)</f>
        <v>#VALUE!</v>
      </c>
      <c r="M795" s="4" t="e" cm="1">
        <f t="array" ref="M795">MID(A795,MAX(IFERROR(FIND({"省"},A795),0),IFERROR(FIND({"市"},A795),0),IFERROR(FIND({"区"},A795),0),IFERROR(FIND({"县"},A795),0))+1,FIND("街道",A795)-MAX(IFERROR(FIND({"省"},A795),0),IFERROR(FIND({"市"},A795),0),IFERROR(FIND({"区"},A795),0),IFERROR(FIND({"县"},A795),0))-1+2)</f>
        <v>#VALUE!</v>
      </c>
      <c r="O795" s="4" t="str" cm="1">
        <f t="array" ref="O795">_xlfn.LET(_xlpm.fullText,A795,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95" s="4" t="str" cm="1">
        <f t="array" ref="Q795">_xlfn.LET(_xlpm.fullText,A795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96" ht="28.8" spans="1:17">
      <c r="A796" s="3" t="s">
        <v>352</v>
      </c>
      <c r="K796" s="4" t="e" cm="1">
        <f t="array" ref="K796">MID(A796,MAX(IFERROR(FIND({"省","市","区","县"},A796),0))+1,FIND("街道",A796)-MAX(IFERROR(FIND({"省","市","区","县"},A796),0))-1+2)</f>
        <v>#VALUE!</v>
      </c>
      <c r="M796" s="4" t="e" cm="1">
        <f t="array" ref="M796">MID(A796,MAX(IFERROR(FIND({"省"},A796),0),IFERROR(FIND({"市"},A796),0),IFERROR(FIND({"区"},A796),0),IFERROR(FIND({"县"},A796),0))+1,FIND("街道",A796)-MAX(IFERROR(FIND({"省"},A796),0),IFERROR(FIND({"市"},A796),0),IFERROR(FIND({"区"},A796),0),IFERROR(FIND({"县"},A796),0))-1+2)</f>
        <v>#VALUE!</v>
      </c>
      <c r="O796" s="4" t="str" cm="1">
        <f t="array" ref="O796">_xlfn.LET(_xlpm.fullText,A796,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796" s="4" t="str" cm="1">
        <f t="array" ref="Q796">_xlfn.LET(_xlpm.fullText,A796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797" ht="28.8" spans="1:17">
      <c r="A797" s="3" t="s">
        <v>346</v>
      </c>
      <c r="K797" s="4" t="str" cm="1">
        <f t="array" ref="K797">MID(A797,MAX(IFERROR(FIND({"省","市","区","县"},A797),0))+1,FIND("街道",A797)-MAX(IFERROR(FIND({"省","市","区","县"},A797),0))-1+2)</f>
        <v>金山桥街道</v>
      </c>
      <c r="M797" s="4" t="str" cm="1">
        <f t="array" ref="M797">MID(A797,MAX(IFERROR(FIND({"省"},A797),0),IFERROR(FIND({"市"},A797),0),IFERROR(FIND({"区"},A797),0),IFERROR(FIND({"县"},A797),0))+1,FIND("街道",A797)-MAX(IFERROR(FIND({"省"},A797),0),IFERROR(FIND({"市"},A797),0),IFERROR(FIND({"区"},A797),0),IFERROR(FIND({"县"},A797),0))-1+2)</f>
        <v>金山桥街道</v>
      </c>
      <c r="O797" s="4" t="str" cm="1">
        <f t="array" ref="O797">_xlfn.LET(_xlpm.fullText,A797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797" s="4" t="str" cm="1">
        <f t="array" ref="Q797">_xlfn.LET(_xlpm.fullText,A797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798" ht="28.8" spans="1:17">
      <c r="A798" s="3" t="s">
        <v>111</v>
      </c>
      <c r="K798" s="4" t="str" cm="1">
        <f t="array" ref="K798">MID(A798,MAX(IFERROR(FIND({"省","市","区","县"},A798),0))+1,FIND("街道",A798)-MAX(IFERROR(FIND({"省","市","区","县"},A798),0))-1+2)</f>
        <v>金山桥街道</v>
      </c>
      <c r="M798" s="4" t="str" cm="1">
        <f t="array" ref="M798">MID(A798,MAX(IFERROR(FIND({"省"},A798),0),IFERROR(FIND({"市"},A798),0),IFERROR(FIND({"区"},A798),0),IFERROR(FIND({"县"},A798),0))+1,FIND("街道",A798)-MAX(IFERROR(FIND({"省"},A798),0),IFERROR(FIND({"市"},A798),0),IFERROR(FIND({"区"},A798),0),IFERROR(FIND({"县"},A798),0))-1+2)</f>
        <v>金山桥街道</v>
      </c>
      <c r="O798" s="4" t="str" cm="1">
        <f t="array" ref="O798">_xlfn.LET(_xlpm.fullText,A798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798" s="4" t="str" cm="1">
        <f t="array" ref="Q798">_xlfn.LET(_xlpm.fullText,A798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799" ht="28.8" spans="1:17">
      <c r="A799" s="3" t="s">
        <v>374</v>
      </c>
      <c r="K799" s="4" t="str" cm="1">
        <f t="array" ref="K799">MID(A799,MAX(IFERROR(FIND({"省","市","区","县"},A799),0))+1,FIND("街道",A799)-MAX(IFERROR(FIND({"省","市","区","县"},A799),0))-1+2)</f>
        <v>福清市宏路街道</v>
      </c>
      <c r="M799" s="4" t="str" cm="1">
        <f t="array" ref="M799">MID(A799,MAX(IFERROR(FIND({"省"},A799),0),IFERROR(FIND({"市"},A799),0),IFERROR(FIND({"区"},A799),0),IFERROR(FIND({"县"},A799),0))+1,FIND("街道",A799)-MAX(IFERROR(FIND({"省"},A799),0),IFERROR(FIND({"市"},A799),0),IFERROR(FIND({"区"},A799),0),IFERROR(FIND({"县"},A799),0))-1+2)</f>
        <v>福清市宏路街道</v>
      </c>
      <c r="O799" s="4" t="str" cm="1">
        <f t="array" ref="O799">_xlfn.LET(_xlpm.fullText,A799,_xlpm.streetPos,FIND("街道",_xlpm.fullText)+2,_xlpm.prefixText,LEFT(_xlpm.fullText,_xlpm.streetPos-1),_xlpm.adminPos,MAX(IFERROR(FIND({"省","市","区","县"},_xlpm.prefixText),0)),IF(_xlpm.adminPos&gt;0,MID(_xlpm.prefixText,_xlpm.adminPos+1,_xlpm.streetPos-_xlpm.adminPos-3+2),LEFT(_xlpm.prefixText,FIND("街道",_xlpm.prefixText)-1+2)))</f>
        <v>福清市宏路街道</v>
      </c>
      <c r="Q799" s="4" t="str" cm="1">
        <f t="array" ref="Q799">_xlfn.LET(_xlpm.fullText,A799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宏路街道</v>
      </c>
    </row>
    <row r="800" spans="1:17">
      <c r="A800" s="3" t="s">
        <v>375</v>
      </c>
      <c r="K800" s="4" t="str" cm="1">
        <f t="array" ref="K800">MID(A800,MAX(IFERROR(FIND({"省","市","区","县"},A800),0))+1,FIND("街道",A800)-MAX(IFERROR(FIND({"省","市","区","县"},A800),0))-1+2)</f>
        <v>东海街道</v>
      </c>
      <c r="M800" s="4" t="str" cm="1">
        <f t="array" ref="M800">MID(A800,MAX(IFERROR(FIND({"省"},A800),0),IFERROR(FIND({"市"},A800),0),IFERROR(FIND({"区"},A800),0),IFERROR(FIND({"县"},A800),0))+1,FIND("街道",A800)-MAX(IFERROR(FIND({"省"},A800),0),IFERROR(FIND({"市"},A800),0),IFERROR(FIND({"区"},A800),0),IFERROR(FIND({"县"},A800),0))-1+2)</f>
        <v>东海街道</v>
      </c>
      <c r="O800" s="4" t="str" cm="1">
        <f t="array" ref="O800">_xlfn.LET(_xlpm.fullText,A800,_xlpm.streetPos,FIND("街道",_xlpm.fullText)+2,_xlpm.prefixText,LEFT(_xlpm.fullText,_xlpm.streetPos-1),_xlpm.adminPos,MAX(IFERROR(FIND({"省","市","区","县"},_xlpm.prefixText),0)),IF(_xlpm.adminPos&gt;0,MID(_xlpm.prefixText,_xlpm.adminPos+1,_xlpm.streetPos-_xlpm.adminPos-3+2),LEFT(_xlpm.prefixText,FIND("街道",_xlpm.prefixText)-1+2)))</f>
        <v>东海街道</v>
      </c>
      <c r="Q800" s="4" t="str" cm="1">
        <f t="array" ref="Q800">_xlfn.LET(_xlpm.fullText,A800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东海街道</v>
      </c>
    </row>
    <row r="801" spans="1:17">
      <c r="A801" s="3" t="s">
        <v>322</v>
      </c>
      <c r="K801" s="4" t="str" cm="1">
        <f t="array" ref="K801">MID(A801,MAX(IFERROR(FIND({"省","市","区","县"},A801),0))+1,FIND("街道",A801)-MAX(IFERROR(FIND({"省","市","区","县"},A801),0))-1+2)</f>
        <v>沥海街道</v>
      </c>
      <c r="M801" s="4" t="str" cm="1">
        <f t="array" ref="M801">MID(A801,MAX(IFERROR(FIND({"省"},A801),0),IFERROR(FIND({"市"},A801),0),IFERROR(FIND({"区"},A801),0),IFERROR(FIND({"县"},A801),0))+1,FIND("街道",A801)-MAX(IFERROR(FIND({"省"},A801),0),IFERROR(FIND({"市"},A801),0),IFERROR(FIND({"区"},A801),0),IFERROR(FIND({"县"},A801),0))-1+2)</f>
        <v>沥海街道</v>
      </c>
      <c r="O801" s="4" t="str" cm="1">
        <f t="array" ref="O801">_xlfn.LET(_xlpm.fullText,A801,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801" s="4" t="str" cm="1">
        <f t="array" ref="Q801">_xlfn.LET(_xlpm.fullText,A801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802" ht="28.8" spans="1:17">
      <c r="A802" s="3" t="s">
        <v>376</v>
      </c>
      <c r="K802" s="4" t="str" cm="1">
        <f t="array" ref="K802">MID(A802,MAX(IFERROR(FIND({"省","市","区","县"},A802),0))+1,FIND("街道",A802)-MAX(IFERROR(FIND({"省","市","区","县"},A802),0))-1+2)</f>
        <v>狼山镇街道</v>
      </c>
      <c r="M802" s="4" t="str" cm="1">
        <f t="array" ref="M802">MID(A802,MAX(IFERROR(FIND({"省"},A802),0),IFERROR(FIND({"市"},A802),0),IFERROR(FIND({"区"},A802),0),IFERROR(FIND({"县"},A802),0))+1,FIND("街道",A802)-MAX(IFERROR(FIND({"省"},A802),0),IFERROR(FIND({"市"},A802),0),IFERROR(FIND({"区"},A802),0),IFERROR(FIND({"县"},A802),0))-1+2)</f>
        <v>狼山镇街道</v>
      </c>
      <c r="O802" s="4" t="str" cm="1">
        <f t="array" ref="O802">_xlfn.LET(_xlpm.fullText,A802,_xlpm.streetPos,FIND("街道",_xlpm.fullText)+2,_xlpm.prefixText,LEFT(_xlpm.fullText,_xlpm.streetPos-1),_xlpm.adminPos,MAX(IFERROR(FIND({"省","市","区","县"},_xlpm.prefixText),0)),IF(_xlpm.adminPos&gt;0,MID(_xlpm.prefixText,_xlpm.adminPos+1,_xlpm.streetPos-_xlpm.adminPos-3+2),LEFT(_xlpm.prefixText,FIND("街道",_xlpm.prefixText)-1+2)))</f>
        <v>狼山镇街道</v>
      </c>
      <c r="Q802" s="4" t="str" cm="1">
        <f t="array" ref="Q802">_xlfn.LET(_xlpm.fullText,A802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狼山镇街道</v>
      </c>
    </row>
    <row r="803" ht="28.8" spans="1:17">
      <c r="A803" s="3" t="s">
        <v>377</v>
      </c>
      <c r="K803" s="4" t="e" cm="1">
        <f t="array" ref="K803">MID(A803,MAX(IFERROR(FIND({"省","市","区","县"},A803),0))+1,FIND("街道",A803)-MAX(IFERROR(FIND({"省","市","区","县"},A803),0))-1+2)</f>
        <v>#VALUE!</v>
      </c>
      <c r="M803" s="4" t="e" cm="1">
        <f t="array" ref="M803">MID(A803,MAX(IFERROR(FIND({"省"},A803),0),IFERROR(FIND({"市"},A803),0),IFERROR(FIND({"区"},A803),0),IFERROR(FIND({"县"},A803),0))+1,FIND("街道",A803)-MAX(IFERROR(FIND({"省"},A803),0),IFERROR(FIND({"市"},A803),0),IFERROR(FIND({"区"},A803),0),IFERROR(FIND({"县"},A803),0))-1+2)</f>
        <v>#VALUE!</v>
      </c>
      <c r="O803" s="4" t="str" cm="1">
        <f t="array" ref="O803">_xlfn.LET(_xlpm.fullText,A803,_xlpm.streetPos,FIND("街道",_xlpm.fullText)+2,_xlpm.prefixText,LEFT(_xlpm.fullText,_xlpm.streetPos-1),_xlpm.adminPos,MAX(IFERROR(FIND({"省","市","区","县"},_xlpm.prefixText),0)),IF(_xlpm.adminPos&gt;0,MID(_xlpm.prefixText,_xlpm.adminPos+1,_xlpm.streetPos-_xlpm.adminPos-3+2),LEFT(_xlpm.prefixText,FIND("街道",_xlpm.prefixText)-1+2)))</f>
        <v>常熟市碧溪街道</v>
      </c>
      <c r="Q803" s="4" t="str" cm="1">
        <f t="array" ref="Q803">_xlfn.LET(_xlpm.fullText,A803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碧溪街道</v>
      </c>
    </row>
    <row r="804" ht="28.8" spans="1:17">
      <c r="A804" s="3" t="s">
        <v>352</v>
      </c>
      <c r="K804" s="4" t="e" cm="1">
        <f t="array" ref="K804">MID(A804,MAX(IFERROR(FIND({"省","市","区","县"},A804),0))+1,FIND("街道",A804)-MAX(IFERROR(FIND({"省","市","区","县"},A804),0))-1+2)</f>
        <v>#VALUE!</v>
      </c>
      <c r="M804" s="4" t="e" cm="1">
        <f t="array" ref="M804">MID(A804,MAX(IFERROR(FIND({"省"},A804),0),IFERROR(FIND({"市"},A804),0),IFERROR(FIND({"区"},A804),0),IFERROR(FIND({"县"},A804),0))+1,FIND("街道",A804)-MAX(IFERROR(FIND({"省"},A804),0),IFERROR(FIND({"市"},A804),0),IFERROR(FIND({"区"},A804),0),IFERROR(FIND({"县"},A804),0))-1+2)</f>
        <v>#VALUE!</v>
      </c>
      <c r="O804" s="4" t="str" cm="1">
        <f t="array" ref="O804">_xlfn.LET(_xlpm.fullText,A804,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804" s="4" t="str" cm="1">
        <f t="array" ref="Q804">_xlfn.LET(_xlpm.fullText,A804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805" ht="28.8" spans="1:17">
      <c r="A805" s="3" t="s">
        <v>378</v>
      </c>
      <c r="K805" s="4" t="str" cm="1">
        <f t="array" ref="K805">MID(A805,MAX(IFERROR(FIND({"省","市","区","县"},A805),0))+1,FIND("街道",A805)-MAX(IFERROR(FIND({"省","市","区","县"},A805),0))-1+2)</f>
        <v>常熟市琴川街道</v>
      </c>
      <c r="M805" s="4" t="str" cm="1">
        <f t="array" ref="M805">MID(A805,MAX(IFERROR(FIND({"省"},A805),0),IFERROR(FIND({"市"},A805),0),IFERROR(FIND({"区"},A805),0),IFERROR(FIND({"县"},A805),0))+1,FIND("街道",A805)-MAX(IFERROR(FIND({"省"},A805),0),IFERROR(FIND({"市"},A805),0),IFERROR(FIND({"区"},A805),0),IFERROR(FIND({"县"},A805),0))-1+2)</f>
        <v>常熟市琴川街道</v>
      </c>
      <c r="O805" s="4" t="str" cm="1">
        <f t="array" ref="O805">_xlfn.LET(_xlpm.fullText,A805,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805" s="4" t="str" cm="1">
        <f t="array" ref="Q805">_xlfn.LET(_xlpm.fullText,A805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806" spans="1:17">
      <c r="A806" s="3" t="s">
        <v>379</v>
      </c>
      <c r="K806" s="4" t="str" cm="1">
        <f t="array" ref="K806">MID(A806,MAX(IFERROR(FIND({"省","市","区","县"},A806),0))+1,FIND("街道",A806)-MAX(IFERROR(FIND({"省","市","区","县"},A806),0))-1+2)</f>
        <v>湖滨街道</v>
      </c>
      <c r="M806" s="4" t="str" cm="1">
        <f t="array" ref="M806">MID(A806,MAX(IFERROR(FIND({"省"},A806),0),IFERROR(FIND({"市"},A806),0),IFERROR(FIND({"区"},A806),0),IFERROR(FIND({"县"},A806),0))+1,FIND("街道",A806)-MAX(IFERROR(FIND({"省"},A806),0),IFERROR(FIND({"市"},A806),0),IFERROR(FIND({"区"},A806),0),IFERROR(FIND({"县"},A806),0))-1+2)</f>
        <v>湖滨街道</v>
      </c>
      <c r="O806" s="4" t="str" cm="1">
        <f t="array" ref="O806">_xlfn.LET(_xlpm.fullText,A806,_xlpm.streetPos,FIND("街道",_xlpm.fullText)+2,_xlpm.prefixText,LEFT(_xlpm.fullText,_xlpm.streetPos-1),_xlpm.adminPos,MAX(IFERROR(FIND({"省","市","区","县"},_xlpm.prefixText),0)),IF(_xlpm.adminPos&gt;0,MID(_xlpm.prefixText,_xlpm.adminPos+1,_xlpm.streetPos-_xlpm.adminPos-3+2),LEFT(_xlpm.prefixText,FIND("街道",_xlpm.prefixText)-1+2)))</f>
        <v>湖滨街道</v>
      </c>
      <c r="Q806" s="4" t="str" cm="1">
        <f t="array" ref="Q806">_xlfn.LET(_xlpm.fullText,A806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湖滨街道</v>
      </c>
    </row>
    <row r="807" spans="1:17">
      <c r="A807" s="3" t="s">
        <v>345</v>
      </c>
      <c r="K807" s="4" t="str" cm="1">
        <f t="array" ref="K807">MID(A807,MAX(IFERROR(FIND({"省","市","区","县"},A807),0))+1,FIND("街道",A807)-MAX(IFERROR(FIND({"省","市","区","县"},A807),0))-1+2)</f>
        <v>火花街道</v>
      </c>
      <c r="M807" s="4" t="str" cm="1">
        <f t="array" ref="M807">MID(A807,MAX(IFERROR(FIND({"省"},A807),0),IFERROR(FIND({"市"},A807),0),IFERROR(FIND({"区"},A807),0),IFERROR(FIND({"县"},A807),0))+1,FIND("街道",A807)-MAX(IFERROR(FIND({"省"},A807),0),IFERROR(FIND({"市"},A807),0),IFERROR(FIND({"区"},A807),0),IFERROR(FIND({"县"},A807),0))-1+2)</f>
        <v>火花街道</v>
      </c>
      <c r="O807" s="4" t="str" cm="1">
        <f t="array" ref="O807">_xlfn.LET(_xlpm.fullText,A807,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07" s="4" t="str" cm="1">
        <f t="array" ref="Q807">_xlfn.LET(_xlpm.fullText,A807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08" ht="28.8" spans="1:17">
      <c r="A808" s="3" t="s">
        <v>346</v>
      </c>
      <c r="K808" s="4" t="str" cm="1">
        <f t="array" ref="K808">MID(A808,MAX(IFERROR(FIND({"省","市","区","县"},A808),0))+1,FIND("街道",A808)-MAX(IFERROR(FIND({"省","市","区","县"},A808),0))-1+2)</f>
        <v>金山桥街道</v>
      </c>
      <c r="M808" s="4" t="str" cm="1">
        <f t="array" ref="M808">MID(A808,MAX(IFERROR(FIND({"省"},A808),0),IFERROR(FIND({"市"},A808),0),IFERROR(FIND({"区"},A808),0),IFERROR(FIND({"县"},A808),0))+1,FIND("街道",A808)-MAX(IFERROR(FIND({"省"},A808),0),IFERROR(FIND({"市"},A808),0),IFERROR(FIND({"区"},A808),0),IFERROR(FIND({"县"},A808),0))-1+2)</f>
        <v>金山桥街道</v>
      </c>
      <c r="O808" s="4" t="str" cm="1">
        <f t="array" ref="O808">_xlfn.LET(_xlpm.fullText,A808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08" s="4" t="str" cm="1">
        <f t="array" ref="Q808">_xlfn.LET(_xlpm.fullText,A808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09" ht="28.8" spans="1:17">
      <c r="A809" s="3" t="s">
        <v>346</v>
      </c>
      <c r="K809" s="4" t="str" cm="1">
        <f t="array" ref="K809">MID(A809,MAX(IFERROR(FIND({"省","市","区","县"},A809),0))+1,FIND("街道",A809)-MAX(IFERROR(FIND({"省","市","区","县"},A809),0))-1+2)</f>
        <v>金山桥街道</v>
      </c>
      <c r="M809" s="4" t="str" cm="1">
        <f t="array" ref="M809">MID(A809,MAX(IFERROR(FIND({"省"},A809),0),IFERROR(FIND({"市"},A809),0),IFERROR(FIND({"区"},A809),0),IFERROR(FIND({"县"},A809),0))+1,FIND("街道",A809)-MAX(IFERROR(FIND({"省"},A809),0),IFERROR(FIND({"市"},A809),0),IFERROR(FIND({"区"},A809),0),IFERROR(FIND({"县"},A809),0))-1+2)</f>
        <v>金山桥街道</v>
      </c>
      <c r="O809" s="4" t="str" cm="1">
        <f t="array" ref="O809">_xlfn.LET(_xlpm.fullText,A809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09" s="4" t="str" cm="1">
        <f t="array" ref="Q809">_xlfn.LET(_xlpm.fullText,A809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10" ht="28.8" spans="1:17">
      <c r="A810" s="3" t="s">
        <v>346</v>
      </c>
      <c r="K810" s="4" t="str" cm="1">
        <f t="array" ref="K810">MID(A810,MAX(IFERROR(FIND({"省","市","区","县"},A810),0))+1,FIND("街道",A810)-MAX(IFERROR(FIND({"省","市","区","县"},A810),0))-1+2)</f>
        <v>金山桥街道</v>
      </c>
      <c r="M810" s="4" t="str" cm="1">
        <f t="array" ref="M810">MID(A810,MAX(IFERROR(FIND({"省"},A810),0),IFERROR(FIND({"市"},A810),0),IFERROR(FIND({"区"},A810),0),IFERROR(FIND({"县"},A810),0))+1,FIND("街道",A810)-MAX(IFERROR(FIND({"省"},A810),0),IFERROR(FIND({"市"},A810),0),IFERROR(FIND({"区"},A810),0),IFERROR(FIND({"县"},A810),0))-1+2)</f>
        <v>金山桥街道</v>
      </c>
      <c r="O810" s="4" t="str" cm="1">
        <f t="array" ref="O810">_xlfn.LET(_xlpm.fullText,A810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10" s="4" t="str" cm="1">
        <f t="array" ref="Q810">_xlfn.LET(_xlpm.fullText,A810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11" ht="28.8" spans="1:17">
      <c r="A811" s="3" t="s">
        <v>160</v>
      </c>
      <c r="K811" s="4" t="str" cm="1">
        <f t="array" ref="K811">MID(A811,MAX(IFERROR(FIND({"省","市","区","县"},A811),0))+1,FIND("街道",A811)-MAX(IFERROR(FIND({"省","市","区","县"},A811),0))-1+2)</f>
        <v>金山桥街道</v>
      </c>
      <c r="M811" s="4" t="str" cm="1">
        <f t="array" ref="M811">MID(A811,MAX(IFERROR(FIND({"省"},A811),0),IFERROR(FIND({"市"},A811),0),IFERROR(FIND({"区"},A811),0),IFERROR(FIND({"县"},A811),0))+1,FIND("街道",A811)-MAX(IFERROR(FIND({"省"},A811),0),IFERROR(FIND({"市"},A811),0),IFERROR(FIND({"区"},A811),0),IFERROR(FIND({"县"},A811),0))-1+2)</f>
        <v>金山桥街道</v>
      </c>
      <c r="O811" s="4" t="str" cm="1">
        <f t="array" ref="O811">_xlfn.LET(_xlpm.fullText,A811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11" s="4" t="str" cm="1">
        <f t="array" ref="Q811">_xlfn.LET(_xlpm.fullText,A811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12" ht="28.8" spans="1:17">
      <c r="A812" s="3" t="s">
        <v>346</v>
      </c>
      <c r="K812" s="4" t="str" cm="1">
        <f t="array" ref="K812">MID(A812,MAX(IFERROR(FIND({"省","市","区","县"},A812),0))+1,FIND("街道",A812)-MAX(IFERROR(FIND({"省","市","区","县"},A812),0))-1+2)</f>
        <v>金山桥街道</v>
      </c>
      <c r="M812" s="4" t="str" cm="1">
        <f t="array" ref="M812">MID(A812,MAX(IFERROR(FIND({"省"},A812),0),IFERROR(FIND({"市"},A812),0),IFERROR(FIND({"区"},A812),0),IFERROR(FIND({"县"},A812),0))+1,FIND("街道",A812)-MAX(IFERROR(FIND({"省"},A812),0),IFERROR(FIND({"市"},A812),0),IFERROR(FIND({"区"},A812),0),IFERROR(FIND({"县"},A812),0))-1+2)</f>
        <v>金山桥街道</v>
      </c>
      <c r="O812" s="4" t="str" cm="1">
        <f t="array" ref="O812">_xlfn.LET(_xlpm.fullText,A812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12" s="4" t="str" cm="1">
        <f t="array" ref="Q812">_xlfn.LET(_xlpm.fullText,A812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13" ht="28.8" spans="1:17">
      <c r="A813" s="3" t="s">
        <v>380</v>
      </c>
      <c r="K813" s="4" t="str" cm="1">
        <f t="array" ref="K813">MID(A813,MAX(IFERROR(FIND({"省","市","区","县"},A813),0))+1,FIND("街道",A813)-MAX(IFERROR(FIND({"省","市","区","县"},A813),0))-1+2)</f>
        <v>金山桥街道</v>
      </c>
      <c r="M813" s="4" t="str" cm="1">
        <f t="array" ref="M813">MID(A813,MAX(IFERROR(FIND({"省"},A813),0),IFERROR(FIND({"市"},A813),0),IFERROR(FIND({"区"},A813),0),IFERROR(FIND({"县"},A813),0))+1,FIND("街道",A813)-MAX(IFERROR(FIND({"省"},A813),0),IFERROR(FIND({"市"},A813),0),IFERROR(FIND({"区"},A813),0),IFERROR(FIND({"县"},A813),0))-1+2)</f>
        <v>金山桥街道</v>
      </c>
      <c r="O813" s="4" t="str" cm="1">
        <f t="array" ref="O813">_xlfn.LET(_xlpm.fullText,A813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13" s="4" t="str" cm="1">
        <f t="array" ref="Q813">_xlfn.LET(_xlpm.fullText,A813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14" ht="28.8" spans="1:17">
      <c r="A814" s="3" t="s">
        <v>346</v>
      </c>
      <c r="K814" s="4" t="str" cm="1">
        <f t="array" ref="K814">MID(A814,MAX(IFERROR(FIND({"省","市","区","县"},A814),0))+1,FIND("街道",A814)-MAX(IFERROR(FIND({"省","市","区","县"},A814),0))-1+2)</f>
        <v>金山桥街道</v>
      </c>
      <c r="M814" s="4" t="str" cm="1">
        <f t="array" ref="M814">MID(A814,MAX(IFERROR(FIND({"省"},A814),0),IFERROR(FIND({"市"},A814),0),IFERROR(FIND({"区"},A814),0),IFERROR(FIND({"县"},A814),0))+1,FIND("街道",A814)-MAX(IFERROR(FIND({"省"},A814),0),IFERROR(FIND({"市"},A814),0),IFERROR(FIND({"区"},A814),0),IFERROR(FIND({"县"},A814),0))-1+2)</f>
        <v>金山桥街道</v>
      </c>
      <c r="O814" s="4" t="str" cm="1">
        <f t="array" ref="O814">_xlfn.LET(_xlpm.fullText,A814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14" s="4" t="str" cm="1">
        <f t="array" ref="Q814">_xlfn.LET(_xlpm.fullText,A814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15" spans="1:17">
      <c r="A815" s="3" t="s">
        <v>381</v>
      </c>
      <c r="K815" s="4" t="str" cm="1">
        <f t="array" ref="K815">MID(A815,MAX(IFERROR(FIND({"省","市","区","县"},A815),0))+1,FIND("街道",A815)-MAX(IFERROR(FIND({"省","市","区","县"},A815),0))-1+2)</f>
        <v>沥海街道</v>
      </c>
      <c r="M815" s="4" t="str" cm="1">
        <f t="array" ref="M815">MID(A815,MAX(IFERROR(FIND({"省"},A815),0),IFERROR(FIND({"市"},A815),0),IFERROR(FIND({"区"},A815),0),IFERROR(FIND({"县"},A815),0))+1,FIND("街道",A815)-MAX(IFERROR(FIND({"省"},A815),0),IFERROR(FIND({"市"},A815),0),IFERROR(FIND({"区"},A815),0),IFERROR(FIND({"县"},A815),0))-1+2)</f>
        <v>沥海街道</v>
      </c>
      <c r="O815" s="4" t="str" cm="1">
        <f t="array" ref="O815">_xlfn.LET(_xlpm.fullText,A815,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815" s="4" t="str" cm="1">
        <f t="array" ref="Q815">_xlfn.LET(_xlpm.fullText,A815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816" spans="1:17">
      <c r="A816" s="3" t="s">
        <v>322</v>
      </c>
      <c r="K816" s="4" t="str" cm="1">
        <f t="array" ref="K816">MID(A816,MAX(IFERROR(FIND({"省","市","区","县"},A816),0))+1,FIND("街道",A816)-MAX(IFERROR(FIND({"省","市","区","县"},A816),0))-1+2)</f>
        <v>沥海街道</v>
      </c>
      <c r="M816" s="4" t="str" cm="1">
        <f t="array" ref="M816">MID(A816,MAX(IFERROR(FIND({"省"},A816),0),IFERROR(FIND({"市"},A816),0),IFERROR(FIND({"区"},A816),0),IFERROR(FIND({"县"},A816),0))+1,FIND("街道",A816)-MAX(IFERROR(FIND({"省"},A816),0),IFERROR(FIND({"市"},A816),0),IFERROR(FIND({"区"},A816),0),IFERROR(FIND({"县"},A816),0))-1+2)</f>
        <v>沥海街道</v>
      </c>
      <c r="O816" s="4" t="str" cm="1">
        <f t="array" ref="O816">_xlfn.LET(_xlpm.fullText,A816,_xlpm.streetPos,FIND("街道",_xlpm.fullText)+2,_xlpm.prefixText,LEFT(_xlpm.fullText,_xlpm.streetPos-1),_xlpm.adminPos,MAX(IFERROR(FIND({"省","市","区","县"},_xlpm.prefixText),0)),IF(_xlpm.adminPos&gt;0,MID(_xlpm.prefixText,_xlpm.adminPos+1,_xlpm.streetPos-_xlpm.adminPos-3+2),LEFT(_xlpm.prefixText,FIND("街道",_xlpm.prefixText)-1+2)))</f>
        <v>沥海街道</v>
      </c>
      <c r="Q816" s="4" t="str" cm="1">
        <f t="array" ref="Q816">_xlfn.LET(_xlpm.fullText,A816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沥海街道</v>
      </c>
    </row>
    <row r="817" ht="28.8" spans="1:17">
      <c r="A817" s="3" t="s">
        <v>382</v>
      </c>
      <c r="K817" s="4" t="str" cm="1">
        <f t="array" ref="K817">MID(A817,MAX(IFERROR(FIND({"省","市","区","县"},A817),0))+1,FIND("街道",A817)-MAX(IFERROR(FIND({"省","市","区","县"},A817),0))-1+2)</f>
        <v>常熟市琴川街道</v>
      </c>
      <c r="M817" s="4" t="str" cm="1">
        <f t="array" ref="M817">MID(A817,MAX(IFERROR(FIND({"省"},A817),0),IFERROR(FIND({"市"},A817),0),IFERROR(FIND({"区"},A817),0),IFERROR(FIND({"县"},A817),0))+1,FIND("街道",A817)-MAX(IFERROR(FIND({"省"},A817),0),IFERROR(FIND({"市"},A817),0),IFERROR(FIND({"区"},A817),0),IFERROR(FIND({"县"},A817),0))-1+2)</f>
        <v>常熟市琴川街道</v>
      </c>
      <c r="O817" s="4" t="str" cm="1">
        <f t="array" ref="O817">_xlfn.LET(_xlpm.fullText,A817,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817" s="4" t="str" cm="1">
        <f t="array" ref="Q817">_xlfn.LET(_xlpm.fullText,A817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818" spans="1:17">
      <c r="A818" s="3" t="s">
        <v>383</v>
      </c>
      <c r="K818" s="4" t="str" cm="1">
        <f t="array" ref="K818">MID(A818,MAX(IFERROR(FIND({"省","市","区","县"},A818),0))+1,FIND("街道",A818)-MAX(IFERROR(FIND({"省","市","区","县"},A818),0))-1+2)</f>
        <v>秣陵街道</v>
      </c>
      <c r="M818" s="4" t="str" cm="1">
        <f t="array" ref="M818">MID(A818,MAX(IFERROR(FIND({"省"},A818),0),IFERROR(FIND({"市"},A818),0),IFERROR(FIND({"区"},A818),0),IFERROR(FIND({"县"},A818),0))+1,FIND("街道",A818)-MAX(IFERROR(FIND({"省"},A818),0),IFERROR(FIND({"市"},A818),0),IFERROR(FIND({"区"},A818),0),IFERROR(FIND({"县"},A818),0))-1+2)</f>
        <v>秣陵街道</v>
      </c>
      <c r="O818" s="4" t="str" cm="1">
        <f t="array" ref="O818">_xlfn.LET(_xlpm.fullText,A818,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818" s="4" t="str" cm="1">
        <f t="array" ref="Q818">_xlfn.LET(_xlpm.fullText,A818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819" ht="28.8" spans="1:17">
      <c r="A819" s="5" t="s">
        <v>160</v>
      </c>
      <c r="K819" s="4" t="str" cm="1">
        <f t="array" ref="K819">MID(A819,MAX(IFERROR(FIND({"省","市","区","县"},A819),0))+1,FIND("街道",A819)-MAX(IFERROR(FIND({"省","市","区","县"},A819),0))-1+2)</f>
        <v>金山桥街道</v>
      </c>
      <c r="M819" s="4" t="str" cm="1">
        <f t="array" ref="M819">MID(A819,MAX(IFERROR(FIND({"省"},A819),0),IFERROR(FIND({"市"},A819),0),IFERROR(FIND({"区"},A819),0),IFERROR(FIND({"县"},A819),0))+1,FIND("街道",A819)-MAX(IFERROR(FIND({"省"},A819),0),IFERROR(FIND({"市"},A819),0),IFERROR(FIND({"区"},A819),0),IFERROR(FIND({"县"},A819),0))-1+2)</f>
        <v>金山桥街道</v>
      </c>
      <c r="O819" s="4" t="str" cm="1">
        <f t="array" ref="O819">_xlfn.LET(_xlpm.fullText,A819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19" s="4" t="str" cm="1">
        <f t="array" ref="Q819">_xlfn.LET(_xlpm.fullText,A819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20" ht="36" spans="1:17">
      <c r="A820" s="5" t="s">
        <v>346</v>
      </c>
      <c r="K820" s="4" t="str" cm="1">
        <f t="array" ref="K820">MID(A820,MAX(IFERROR(FIND({"省","市","区","县"},A820),0))+1,FIND("街道",A820)-MAX(IFERROR(FIND({"省","市","区","县"},A820),0))-1+2)</f>
        <v>金山桥街道</v>
      </c>
      <c r="M820" s="4" t="str" cm="1">
        <f t="array" ref="M820">MID(A820,MAX(IFERROR(FIND({"省"},A820),0),IFERROR(FIND({"市"},A820),0),IFERROR(FIND({"区"},A820),0),IFERROR(FIND({"县"},A820),0))+1,FIND("街道",A820)-MAX(IFERROR(FIND({"省"},A820),0),IFERROR(FIND({"市"},A820),0),IFERROR(FIND({"区"},A820),0),IFERROR(FIND({"县"},A820),0))-1+2)</f>
        <v>金山桥街道</v>
      </c>
      <c r="O820" s="4" t="str" cm="1">
        <f t="array" ref="O820">_xlfn.LET(_xlpm.fullText,A820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20" s="4" t="str" cm="1">
        <f t="array" ref="Q820">_xlfn.LET(_xlpm.fullText,A820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21" ht="48" spans="1:17">
      <c r="A821" s="5" t="s">
        <v>384</v>
      </c>
      <c r="K821" s="4" t="str" cm="1">
        <f t="array" ref="K821">MID(A821,MAX(IFERROR(FIND({"省","市","区","县"},A821),0))+1,FIND("街道",A821)-MAX(IFERROR(FIND({"省","市","区","县"},A821),0))-1+2)</f>
        <v>徐杨街道</v>
      </c>
      <c r="M821" s="4" t="str" cm="1">
        <f t="array" ref="M821">MID(A821,MAX(IFERROR(FIND({"省"},A821),0),IFERROR(FIND({"市"},A821),0),IFERROR(FIND({"区"},A821),0),IFERROR(FIND({"县"},A821),0))+1,FIND("街道",A821)-MAX(IFERROR(FIND({"省"},A821),0),IFERROR(FIND({"市"},A821),0),IFERROR(FIND({"区"},A821),0),IFERROR(FIND({"县"},A821),0))-1+2)</f>
        <v>徐杨街道</v>
      </c>
      <c r="O821" s="4" t="str" cm="1">
        <f t="array" ref="O821">_xlfn.LET(_xlpm.fullText,A821,_xlpm.streetPos,FIND("街道",_xlpm.fullText)+2,_xlpm.prefixText,LEFT(_xlpm.fullText,_xlpm.streetPos-1),_xlpm.adminPos,MAX(IFERROR(FIND({"省","市","区","县"},_xlpm.prefixText),0)),IF(_xlpm.adminPos&gt;0,MID(_xlpm.prefixText,_xlpm.adminPos+1,_xlpm.streetPos-_xlpm.adminPos-3+2),LEFT(_xlpm.prefixText,FIND("街道",_xlpm.prefixText)-1+2)))</f>
        <v>徐杨街道</v>
      </c>
      <c r="Q821" s="4" t="str" cm="1">
        <f t="array" ref="Q821">_xlfn.LET(_xlpm.fullText,A821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徐杨街道</v>
      </c>
    </row>
    <row r="822" ht="36" spans="1:17">
      <c r="A822" s="5" t="s">
        <v>385</v>
      </c>
      <c r="K822" s="4" t="str" cm="1">
        <f t="array" ref="K822">MID(A822,MAX(IFERROR(FIND({"省","市","区","县"},A822),0))+1,FIND("街道",A822)-MAX(IFERROR(FIND({"省","市","区","县"},A822),0))-1+2)</f>
        <v>河下街道</v>
      </c>
      <c r="M822" s="4" t="str" cm="1">
        <f t="array" ref="M822">MID(A822,MAX(IFERROR(FIND({"省"},A822),0),IFERROR(FIND({"市"},A822),0),IFERROR(FIND({"区"},A822),0),IFERROR(FIND({"县"},A822),0))+1,FIND("街道",A822)-MAX(IFERROR(FIND({"省"},A822),0),IFERROR(FIND({"市"},A822),0),IFERROR(FIND({"区"},A822),0),IFERROR(FIND({"县"},A822),0))-1+2)</f>
        <v>河下街道</v>
      </c>
      <c r="O822" s="4" t="str" cm="1">
        <f t="array" ref="O822">_xlfn.LET(_xlpm.fullText,A822,_xlpm.streetPos,FIND("街道",_xlpm.fullText)+2,_xlpm.prefixText,LEFT(_xlpm.fullText,_xlpm.streetPos-1),_xlpm.adminPos,MAX(IFERROR(FIND({"省","市","区","县"},_xlpm.prefixText),0)),IF(_xlpm.adminPos&gt;0,MID(_xlpm.prefixText,_xlpm.adminPos+1,_xlpm.streetPos-_xlpm.adminPos-3+2),LEFT(_xlpm.prefixText,FIND("街道",_xlpm.prefixText)-1+2)))</f>
        <v>河下街道</v>
      </c>
      <c r="Q822" s="4" t="str" cm="1">
        <f t="array" ref="Q822">_xlfn.LET(_xlpm.fullText,A822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河下街道</v>
      </c>
    </row>
    <row r="823" ht="28.8" spans="1:17">
      <c r="A823" s="5" t="s">
        <v>342</v>
      </c>
      <c r="K823" s="4" t="str" cm="1">
        <f t="array" ref="K823">MID(A823,MAX(IFERROR(FIND({"省","市","区","县"},A823),0))+1,FIND("街道",A823)-MAX(IFERROR(FIND({"省","市","区","县"},A823),0))-1+2)</f>
        <v>常熟市琴川街道</v>
      </c>
      <c r="M823" s="4" t="str" cm="1">
        <f t="array" ref="M823">MID(A823,MAX(IFERROR(FIND({"省"},A823),0),IFERROR(FIND({"市"},A823),0),IFERROR(FIND({"区"},A823),0),IFERROR(FIND({"县"},A823),0))+1,FIND("街道",A823)-MAX(IFERROR(FIND({"省"},A823),0),IFERROR(FIND({"市"},A823),0),IFERROR(FIND({"区"},A823),0),IFERROR(FIND({"县"},A823),0))-1+2)</f>
        <v>常熟市琴川街道</v>
      </c>
      <c r="O823" s="4" t="str" cm="1">
        <f t="array" ref="O823">_xlfn.LET(_xlpm.fullText,A823,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823" s="4" t="str" cm="1">
        <f t="array" ref="Q823">_xlfn.LET(_xlpm.fullText,A823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824" ht="48" spans="1:17">
      <c r="A824" s="5" t="s">
        <v>386</v>
      </c>
      <c r="K824" s="4" t="str" cm="1">
        <f t="array" ref="K824">MID(A824,MAX(IFERROR(FIND({"省","市","区","县"},A824),0))+1,FIND("街道",A824)-MAX(IFERROR(FIND({"省","市","区","县"},A824),0))-1+2)</f>
        <v>唯亭街道</v>
      </c>
      <c r="M824" s="4" t="str" cm="1">
        <f t="array" ref="M824">MID(A824,MAX(IFERROR(FIND({"省"},A824),0),IFERROR(FIND({"市"},A824),0),IFERROR(FIND({"区"},A824),0),IFERROR(FIND({"县"},A824),0))+1,FIND("街道",A824)-MAX(IFERROR(FIND({"省"},A824),0),IFERROR(FIND({"市"},A824),0),IFERROR(FIND({"区"},A824),0),IFERROR(FIND({"县"},A824),0))-1+2)</f>
        <v>唯亭街道</v>
      </c>
      <c r="O824" s="4" t="str" cm="1">
        <f t="array" ref="O824">_xlfn.LET(_xlpm.fullText,A824,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824" s="4" t="str" cm="1">
        <f t="array" ref="Q824">_xlfn.LET(_xlpm.fullText,A824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825" ht="48" spans="1:17">
      <c r="A825" s="5" t="s">
        <v>387</v>
      </c>
      <c r="K825" s="4" t="str" cm="1">
        <f t="array" ref="K825">MID(A825,MAX(IFERROR(FIND({"省","市","区","县"},A825),0))+1,FIND("街道",A825)-MAX(IFERROR(FIND({"省","市","区","县"},A825),0))-1+2)</f>
        <v>句容市崇明街道</v>
      </c>
      <c r="M825" s="4" t="str" cm="1">
        <f t="array" ref="M825">MID(A825,MAX(IFERROR(FIND({"省"},A825),0),IFERROR(FIND({"市"},A825),0),IFERROR(FIND({"区"},A825),0),IFERROR(FIND({"县"},A825),0))+1,FIND("街道",A825)-MAX(IFERROR(FIND({"省"},A825),0),IFERROR(FIND({"市"},A825),0),IFERROR(FIND({"区"},A825),0),IFERROR(FIND({"县"},A825),0))-1+2)</f>
        <v>句容市崇明街道</v>
      </c>
      <c r="O825" s="4" t="str" cm="1">
        <f t="array" ref="O825">_xlfn.LET(_xlpm.fullText,A825,_xlpm.streetPos,FIND("街道",_xlpm.fullText)+2,_xlpm.prefixText,LEFT(_xlpm.fullText,_xlpm.streetPos-1),_xlpm.adminPos,MAX(IFERROR(FIND({"省","市","区","县"},_xlpm.prefixText),0)),IF(_xlpm.adminPos&gt;0,MID(_xlpm.prefixText,_xlpm.adminPos+1,_xlpm.streetPos-_xlpm.adminPos-3+2),LEFT(_xlpm.prefixText,FIND("街道",_xlpm.prefixText)-1+2)))</f>
        <v>句容市崇明街道</v>
      </c>
      <c r="Q825" s="4" t="str" cm="1">
        <f t="array" ref="Q825">_xlfn.LET(_xlpm.fullText,A825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崇明街道</v>
      </c>
    </row>
    <row r="826" ht="36" spans="1:17">
      <c r="A826" s="5" t="s">
        <v>388</v>
      </c>
      <c r="K826" s="4" t="str" cm="1">
        <f t="array" ref="K826">MID(A826,MAX(IFERROR(FIND({"省","市","区","县"},A826),0))+1,FIND("街道",A826)-MAX(IFERROR(FIND({"省","市","区","县"},A826),0))-1+2)</f>
        <v>东山街道</v>
      </c>
      <c r="M826" s="4" t="str" cm="1">
        <f t="array" ref="M826">MID(A826,MAX(IFERROR(FIND({"省"},A826),0),IFERROR(FIND({"市"},A826),0),IFERROR(FIND({"区"},A826),0),IFERROR(FIND({"县"},A826),0))+1,FIND("街道",A826)-MAX(IFERROR(FIND({"省"},A826),0),IFERROR(FIND({"市"},A826),0),IFERROR(FIND({"区"},A826),0),IFERROR(FIND({"县"},A826),0))-1+2)</f>
        <v>东山街道</v>
      </c>
      <c r="O826" s="4" t="str" cm="1">
        <f t="array" ref="O826">_xlfn.LET(_xlpm.fullText,A826,_xlpm.streetPos,FIND("街道",_xlpm.fullText)+2,_xlpm.prefixText,LEFT(_xlpm.fullText,_xlpm.streetPos-1),_xlpm.adminPos,MAX(IFERROR(FIND({"省","市","区","县"},_xlpm.prefixText),0)),IF(_xlpm.adminPos&gt;0,MID(_xlpm.prefixText,_xlpm.adminPos+1,_xlpm.streetPos-_xlpm.adminPos-3+2),LEFT(_xlpm.prefixText,FIND("街道",_xlpm.prefixText)-1+2)))</f>
        <v>东山街道</v>
      </c>
      <c r="Q826" s="4" t="str" cm="1">
        <f t="array" ref="Q826">_xlfn.LET(_xlpm.fullText,A826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东山街道</v>
      </c>
    </row>
    <row r="827" ht="48" spans="1:17">
      <c r="A827" s="5" t="s">
        <v>389</v>
      </c>
      <c r="K827" s="4" t="str" cm="1">
        <f t="array" ref="K827">MID(A827,MAX(IFERROR(FIND({"省","市","区","县"},A827),0))+1,FIND("街道",A827)-MAX(IFERROR(FIND({"省","市","区","县"},A827),0))-1+2)</f>
        <v>秣陵街道</v>
      </c>
      <c r="M827" s="4" t="str" cm="1">
        <f t="array" ref="M827">MID(A827,MAX(IFERROR(FIND({"省"},A827),0),IFERROR(FIND({"市"},A827),0),IFERROR(FIND({"区"},A827),0),IFERROR(FIND({"县"},A827),0))+1,FIND("街道",A827)-MAX(IFERROR(FIND({"省"},A827),0),IFERROR(FIND({"市"},A827),0),IFERROR(FIND({"区"},A827),0),IFERROR(FIND({"县"},A827),0))-1+2)</f>
        <v>秣陵街道</v>
      </c>
      <c r="O827" s="4" t="str" cm="1">
        <f t="array" ref="O827">_xlfn.LET(_xlpm.fullText,A827,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827" s="4" t="str" cm="1">
        <f t="array" ref="Q827">_xlfn.LET(_xlpm.fullText,A827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828" ht="48" spans="1:17">
      <c r="A828" s="5" t="s">
        <v>390</v>
      </c>
      <c r="K828" s="4" t="str" cm="1">
        <f t="array" ref="K828">MID(A828,MAX(IFERROR(FIND({"省","市","区","县"},A828),0))+1,FIND("街道",A828)-MAX(IFERROR(FIND({"省","市","区","县"},A828),0))-1+2)</f>
        <v>秣陵街道</v>
      </c>
      <c r="M828" s="4" t="str" cm="1">
        <f t="array" ref="M828">MID(A828,MAX(IFERROR(FIND({"省"},A828),0),IFERROR(FIND({"市"},A828),0),IFERROR(FIND({"区"},A828),0),IFERROR(FIND({"县"},A828),0))+1,FIND("街道",A828)-MAX(IFERROR(FIND({"省"},A828),0),IFERROR(FIND({"市"},A828),0),IFERROR(FIND({"区"},A828),0),IFERROR(FIND({"县"},A828),0))-1+2)</f>
        <v>秣陵街道</v>
      </c>
      <c r="O828" s="4" t="str" cm="1">
        <f t="array" ref="O828">_xlfn.LET(_xlpm.fullText,A828,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828" s="4" t="str" cm="1">
        <f t="array" ref="Q828">_xlfn.LET(_xlpm.fullText,A828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829" ht="48" spans="1:17">
      <c r="A829" s="5" t="s">
        <v>389</v>
      </c>
      <c r="K829" s="4" t="str" cm="1">
        <f t="array" ref="K829">MID(A829,MAX(IFERROR(FIND({"省","市","区","县"},A829),0))+1,FIND("街道",A829)-MAX(IFERROR(FIND({"省","市","区","县"},A829),0))-1+2)</f>
        <v>秣陵街道</v>
      </c>
      <c r="M829" s="4" t="str" cm="1">
        <f t="array" ref="M829">MID(A829,MAX(IFERROR(FIND({"省"},A829),0),IFERROR(FIND({"市"},A829),0),IFERROR(FIND({"区"},A829),0),IFERROR(FIND({"县"},A829),0))+1,FIND("街道",A829)-MAX(IFERROR(FIND({"省"},A829),0),IFERROR(FIND({"市"},A829),0),IFERROR(FIND({"区"},A829),0),IFERROR(FIND({"县"},A829),0))-1+2)</f>
        <v>秣陵街道</v>
      </c>
      <c r="O829" s="4" t="str" cm="1">
        <f t="array" ref="O829">_xlfn.LET(_xlpm.fullText,A829,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829" s="4" t="str" cm="1">
        <f t="array" ref="Q829">_xlfn.LET(_xlpm.fullText,A829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830" ht="28.8" spans="1:17">
      <c r="A830" s="5" t="s">
        <v>342</v>
      </c>
      <c r="K830" s="4" t="str" cm="1">
        <f t="array" ref="K830">MID(A830,MAX(IFERROR(FIND({"省","市","区","县"},A830),0))+1,FIND("街道",A830)-MAX(IFERROR(FIND({"省","市","区","县"},A830),0))-1+2)</f>
        <v>常熟市琴川街道</v>
      </c>
      <c r="M830" s="4" t="str" cm="1">
        <f t="array" ref="M830">MID(A830,MAX(IFERROR(FIND({"省"},A830),0),IFERROR(FIND({"市"},A830),0),IFERROR(FIND({"区"},A830),0),IFERROR(FIND({"县"},A830),0))+1,FIND("街道",A830)-MAX(IFERROR(FIND({"省"},A830),0),IFERROR(FIND({"市"},A830),0),IFERROR(FIND({"区"},A830),0),IFERROR(FIND({"县"},A830),0))-1+2)</f>
        <v>常熟市琴川街道</v>
      </c>
      <c r="O830" s="4" t="str" cm="1">
        <f t="array" ref="O830">_xlfn.LET(_xlpm.fullText,A830,_xlpm.streetPos,FIND("街道",_xlpm.fullText)+2,_xlpm.prefixText,LEFT(_xlpm.fullText,_xlpm.streetPos-1),_xlpm.adminPos,MAX(IFERROR(FIND({"省","市","区","县"},_xlpm.prefixText),0)),IF(_xlpm.adminPos&gt;0,MID(_xlpm.prefixText,_xlpm.adminPos+1,_xlpm.streetPos-_xlpm.adminPos-3+2),LEFT(_xlpm.prefixText,FIND("街道",_xlpm.prefixText)-1+2)))</f>
        <v>常熟市琴川街道</v>
      </c>
      <c r="Q830" s="4" t="str" cm="1">
        <f t="array" ref="Q830">_xlfn.LET(_xlpm.fullText,A830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琴川街道</v>
      </c>
    </row>
    <row r="831" ht="36" spans="1:17">
      <c r="A831" s="5" t="s">
        <v>340</v>
      </c>
      <c r="K831" s="4" t="str" cm="1">
        <f t="array" ref="K831">MID(A831,MAX(IFERROR(FIND({"省","市","区","县"},A831),0))+1,FIND("街道",A831)-MAX(IFERROR(FIND({"省","市","区","县"},A831),0))-1+2)</f>
        <v>三水街道</v>
      </c>
      <c r="M831" s="4" t="str" cm="1">
        <f t="array" ref="M831">MID(A831,MAX(IFERROR(FIND({"省"},A831),0),IFERROR(FIND({"市"},A831),0),IFERROR(FIND({"区"},A831),0),IFERROR(FIND({"县"},A831),0))+1,FIND("街道",A831)-MAX(IFERROR(FIND({"省"},A831),0),IFERROR(FIND({"市"},A831),0),IFERROR(FIND({"区"},A831),0),IFERROR(FIND({"县"},A831),0))-1+2)</f>
        <v>三水街道</v>
      </c>
      <c r="O831" s="4" t="str" cm="1">
        <f t="array" ref="O831">_xlfn.LET(_xlpm.fullText,A831,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831" s="4" t="str" cm="1">
        <f t="array" ref="Q831">_xlfn.LET(_xlpm.fullText,A831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832" ht="36" spans="1:17">
      <c r="A832" s="5" t="s">
        <v>391</v>
      </c>
      <c r="K832" s="4" t="str" cm="1">
        <f t="array" ref="K832">MID(A832,MAX(IFERROR(FIND({"省","市","区","县"},A832),0))+1,FIND("街道",A832)-MAX(IFERROR(FIND({"省","市","区","县"},A832),0))-1+2)</f>
        <v>金山桥街道</v>
      </c>
      <c r="M832" s="4" t="str" cm="1">
        <f t="array" ref="M832">MID(A832,MAX(IFERROR(FIND({"省"},A832),0),IFERROR(FIND({"市"},A832),0),IFERROR(FIND({"区"},A832),0),IFERROR(FIND({"县"},A832),0))+1,FIND("街道",A832)-MAX(IFERROR(FIND({"省"},A832),0),IFERROR(FIND({"市"},A832),0),IFERROR(FIND({"区"},A832),0),IFERROR(FIND({"县"},A832),0))-1+2)</f>
        <v>金山桥街道</v>
      </c>
      <c r="O832" s="4" t="str" cm="1">
        <f t="array" ref="O832">_xlfn.LET(_xlpm.fullText,A832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32" s="4" t="str" cm="1">
        <f t="array" ref="Q832">_xlfn.LET(_xlpm.fullText,A832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33" ht="24" spans="1:17">
      <c r="A833" s="5" t="s">
        <v>392</v>
      </c>
      <c r="K833" s="4" t="str" cm="1">
        <f t="array" ref="K833">MID(A833,MAX(IFERROR(FIND({"省","市","区","县"},A833),0))+1,FIND("街道",A833)-MAX(IFERROR(FIND({"省","市","区","县"},A833),0))-1+2)</f>
        <v>张范街道</v>
      </c>
      <c r="M833" s="4" t="str" cm="1">
        <f t="array" ref="M833">MID(A833,MAX(IFERROR(FIND({"省"},A833),0),IFERROR(FIND({"市"},A833),0),IFERROR(FIND({"区"},A833),0),IFERROR(FIND({"县"},A833),0))+1,FIND("街道",A833)-MAX(IFERROR(FIND({"省"},A833),0),IFERROR(FIND({"市"},A833),0),IFERROR(FIND({"区"},A833),0),IFERROR(FIND({"县"},A833),0))-1+2)</f>
        <v>张范街道</v>
      </c>
      <c r="O833" s="4" t="str" cm="1">
        <f t="array" ref="O833">_xlfn.LET(_xlpm.fullText,A833,_xlpm.streetPos,FIND("街道",_xlpm.fullText)+2,_xlpm.prefixText,LEFT(_xlpm.fullText,_xlpm.streetPos-1),_xlpm.adminPos,MAX(IFERROR(FIND({"省","市","区","县"},_xlpm.prefixText),0)),IF(_xlpm.adminPos&gt;0,MID(_xlpm.prefixText,_xlpm.adminPos+1,_xlpm.streetPos-_xlpm.adminPos-3+2),LEFT(_xlpm.prefixText,FIND("街道",_xlpm.prefixText)-1+2)))</f>
        <v>张范街道</v>
      </c>
      <c r="Q833" s="4" t="str" cm="1">
        <f t="array" ref="Q833">_xlfn.LET(_xlpm.fullText,A833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张范街道</v>
      </c>
    </row>
    <row r="834" ht="36" spans="1:17">
      <c r="A834" s="5" t="s">
        <v>393</v>
      </c>
      <c r="K834" s="4" t="str" cm="1">
        <f t="array" ref="K834">MID(A834,MAX(IFERROR(FIND({"省","市","区","县"},A834),0))+1,FIND("街道",A834)-MAX(IFERROR(FIND({"省","市","区","县"},A834),0))-1+2)</f>
        <v>南黎街道</v>
      </c>
      <c r="M834" s="4" t="str" cm="1">
        <f t="array" ref="M834">MID(A834,MAX(IFERROR(FIND({"省"},A834),0),IFERROR(FIND({"市"},A834),0),IFERROR(FIND({"区"},A834),0),IFERROR(FIND({"县"},A834),0))+1,FIND("街道",A834)-MAX(IFERROR(FIND({"省"},A834),0),IFERROR(FIND({"市"},A834),0),IFERROR(FIND({"区"},A834),0),IFERROR(FIND({"县"},A834),0))-1+2)</f>
        <v>南黎街道</v>
      </c>
      <c r="O834" s="4" t="str" cm="1">
        <f t="array" ref="O834">_xlfn.LET(_xlpm.fullText,A834,_xlpm.streetPos,FIND("街道",_xlpm.fullText)+2,_xlpm.prefixText,LEFT(_xlpm.fullText,_xlpm.streetPos-1),_xlpm.adminPos,MAX(IFERROR(FIND({"省","市","区","县"},_xlpm.prefixText),0)),IF(_xlpm.adminPos&gt;0,MID(_xlpm.prefixText,_xlpm.adminPos+1,_xlpm.streetPos-_xlpm.adminPos-3+2),LEFT(_xlpm.prefixText,FIND("街道",_xlpm.prefixText)-1+2)))</f>
        <v>南黎街道</v>
      </c>
      <c r="Q834" s="4" t="str" cm="1">
        <f t="array" ref="Q834">_xlfn.LET(_xlpm.fullText,A834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南黎街道</v>
      </c>
    </row>
    <row r="835" ht="36" spans="1:17">
      <c r="A835" s="5" t="s">
        <v>394</v>
      </c>
      <c r="K835" s="4" t="str" cm="1">
        <f t="array" ref="K835">MID(A835,MAX(IFERROR(FIND({"省","市","区","县"},A835),0))+1,FIND("街道",A835)-MAX(IFERROR(FIND({"省","市","区","县"},A835),0))-1+2)</f>
        <v>西湖街道</v>
      </c>
      <c r="M835" s="4" t="str" cm="1">
        <f t="array" ref="M835">MID(A835,MAX(IFERROR(FIND({"省"},A835),0),IFERROR(FIND({"市"},A835),0),IFERROR(FIND({"区"},A835),0),IFERROR(FIND({"县"},A835),0))+1,FIND("街道",A835)-MAX(IFERROR(FIND({"省"},A835),0),IFERROR(FIND({"市"},A835),0),IFERROR(FIND({"区"},A835),0),IFERROR(FIND({"县"},A835),0))-1+2)</f>
        <v>西湖街道</v>
      </c>
      <c r="O835" s="4" t="str" cm="1">
        <f t="array" ref="O835">_xlfn.LET(_xlpm.fullText,A835,_xlpm.streetPos,FIND("街道",_xlpm.fullText)+2,_xlpm.prefixText,LEFT(_xlpm.fullText,_xlpm.streetPos-1),_xlpm.adminPos,MAX(IFERROR(FIND({"省","市","区","县"},_xlpm.prefixText),0)),IF(_xlpm.adminPos&gt;0,MID(_xlpm.prefixText,_xlpm.adminPos+1,_xlpm.streetPos-_xlpm.adminPos-3+2),LEFT(_xlpm.prefixText,FIND("街道",_xlpm.prefixText)-1+2)))</f>
        <v>西湖街道</v>
      </c>
      <c r="Q835" s="4" t="str" cm="1">
        <f t="array" ref="Q835">_xlfn.LET(_xlpm.fullText,A835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西湖街道</v>
      </c>
    </row>
    <row r="836" ht="36" spans="1:17">
      <c r="A836" s="5" t="s">
        <v>345</v>
      </c>
      <c r="K836" s="4" t="str" cm="1">
        <f t="array" ref="K836">MID(A836,MAX(IFERROR(FIND({"省","市","区","县"},A836),0))+1,FIND("街道",A836)-MAX(IFERROR(FIND({"省","市","区","县"},A836),0))-1+2)</f>
        <v>火花街道</v>
      </c>
      <c r="M836" s="4" t="str" cm="1">
        <f t="array" ref="M836">MID(A836,MAX(IFERROR(FIND({"省"},A836),0),IFERROR(FIND({"市"},A836),0),IFERROR(FIND({"区"},A836),0),IFERROR(FIND({"县"},A836),0))+1,FIND("街道",A836)-MAX(IFERROR(FIND({"省"},A836),0),IFERROR(FIND({"市"},A836),0),IFERROR(FIND({"区"},A836),0),IFERROR(FIND({"县"},A836),0))-1+2)</f>
        <v>火花街道</v>
      </c>
      <c r="O836" s="4" t="str" cm="1">
        <f t="array" ref="O836">_xlfn.LET(_xlpm.fullText,A836,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36" s="4" t="str" cm="1">
        <f t="array" ref="Q836">_xlfn.LET(_xlpm.fullText,A836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37" ht="36" spans="1:17">
      <c r="A837" s="5" t="s">
        <v>346</v>
      </c>
      <c r="K837" s="4" t="str" cm="1">
        <f t="array" ref="K837">MID(A837,MAX(IFERROR(FIND({"省","市","区","县"},A837),0))+1,FIND("街道",A837)-MAX(IFERROR(FIND({"省","市","区","县"},A837),0))-1+2)</f>
        <v>金山桥街道</v>
      </c>
      <c r="M837" s="4" t="str" cm="1">
        <f t="array" ref="M837">MID(A837,MAX(IFERROR(FIND({"省"},A837),0),IFERROR(FIND({"市"},A837),0),IFERROR(FIND({"区"},A837),0),IFERROR(FIND({"县"},A837),0))+1,FIND("街道",A837)-MAX(IFERROR(FIND({"省"},A837),0),IFERROR(FIND({"市"},A837),0),IFERROR(FIND({"区"},A837),0),IFERROR(FIND({"县"},A837),0))-1+2)</f>
        <v>金山桥街道</v>
      </c>
      <c r="O837" s="4" t="str" cm="1">
        <f t="array" ref="O837">_xlfn.LET(_xlpm.fullText,A837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37" s="4" t="str" cm="1">
        <f t="array" ref="Q837">_xlfn.LET(_xlpm.fullText,A837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38" ht="36" spans="1:17">
      <c r="A838" s="5" t="s">
        <v>395</v>
      </c>
      <c r="K838" s="4" t="e" cm="1">
        <f t="array" ref="K838">MID(A838,MAX(IFERROR(FIND({"省","市","区","县"},A838),0))+1,FIND("街道",A838)-MAX(IFERROR(FIND({"省","市","区","县"},A838),0))-1+2)</f>
        <v>#VALUE!</v>
      </c>
      <c r="M838" s="4" t="e" cm="1">
        <f t="array" ref="M838">MID(A838,MAX(IFERROR(FIND({"省"},A838),0),IFERROR(FIND({"市"},A838),0),IFERROR(FIND({"区"},A838),0),IFERROR(FIND({"县"},A838),0))+1,FIND("街道",A838)-MAX(IFERROR(FIND({"省"},A838),0),IFERROR(FIND({"市"},A838),0),IFERROR(FIND({"区"},A838),0),IFERROR(FIND({"县"},A838),0))-1+2)</f>
        <v>#VALUE!</v>
      </c>
      <c r="O838" s="4" t="str" cm="1">
        <f t="array" ref="O838">_xlfn.LET(_xlpm.fullText,A838,_xlpm.streetPos,FIND("街道",_xlpm.fullText)+2,_xlpm.prefixText,LEFT(_xlpm.fullText,_xlpm.streetPos-1),_xlpm.adminPos,MAX(IFERROR(FIND({"省","市","区","县"},_xlpm.prefixText),0)),IF(_xlpm.adminPos&gt;0,MID(_xlpm.prefixText,_xlpm.adminPos+1,_xlpm.streetPos-_xlpm.adminPos-3+2),LEFT(_xlpm.prefixText,FIND("街道",_xlpm.prefixText)-1+2)))</f>
        <v>清洋街道</v>
      </c>
      <c r="Q838" s="4" t="str" cm="1">
        <f t="array" ref="Q838">_xlfn.LET(_xlpm.fullText,A838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清洋街道</v>
      </c>
    </row>
    <row r="839" ht="60" spans="1:17">
      <c r="A839" s="5" t="s">
        <v>396</v>
      </c>
      <c r="K839" s="4" t="str" cm="1">
        <f t="array" ref="K839">MID(A839,MAX(IFERROR(FIND({"省","市","区","县"},A839),0))+1,FIND("街道",A839)-MAX(IFERROR(FIND({"省","市","区","县"},A839),0))-1+2)</f>
        <v>怡园街道</v>
      </c>
      <c r="M839" s="4" t="str" cm="1">
        <f t="array" ref="M839">MID(A839,MAX(IFERROR(FIND({"省"},A839),0),IFERROR(FIND({"市"},A839),0),IFERROR(FIND({"区"},A839),0),IFERROR(FIND({"县"},A839),0))+1,FIND("街道",A839)-MAX(IFERROR(FIND({"省"},A839),0),IFERROR(FIND({"市"},A839),0),IFERROR(FIND({"区"},A839),0),IFERROR(FIND({"县"},A839),0))-1+2)</f>
        <v>怡园街道</v>
      </c>
      <c r="O839" s="4" t="str" cm="1">
        <f t="array" ref="O839">_xlfn.LET(_xlpm.fullText,A839,_xlpm.streetPos,FIND("街道",_xlpm.fullText)+2,_xlpm.prefixText,LEFT(_xlpm.fullText,_xlpm.streetPos-1),_xlpm.adminPos,MAX(IFERROR(FIND({"省","市","区","县"},_xlpm.prefixText),0)),IF(_xlpm.adminPos&gt;0,MID(_xlpm.prefixText,_xlpm.adminPos+1,_xlpm.streetPos-_xlpm.adminPos-3+2),LEFT(_xlpm.prefixText,FIND("街道",_xlpm.prefixText)-1+2)))</f>
        <v>怡园街道</v>
      </c>
      <c r="Q839" s="4" t="str" cm="1">
        <f t="array" ref="Q839">_xlfn.LET(_xlpm.fullText,A839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怡园街道</v>
      </c>
    </row>
    <row r="840" ht="36" spans="1:17">
      <c r="A840" s="5" t="s">
        <v>397</v>
      </c>
      <c r="K840" s="4" t="str" cm="1">
        <f t="array" ref="K840">MID(A840,MAX(IFERROR(FIND({"省","市","区","县"},A840),0))+1,FIND("街道",A840)-MAX(IFERROR(FIND({"省","市","区","县"},A840),0))-1+2)</f>
        <v>通济街道</v>
      </c>
      <c r="M840" s="4" t="str" cm="1">
        <f t="array" ref="M840">MID(A840,MAX(IFERROR(FIND({"省"},A840),0),IFERROR(FIND({"市"},A840),0),IFERROR(FIND({"区"},A840),0),IFERROR(FIND({"县"},A840),0))+1,FIND("街道",A840)-MAX(IFERROR(FIND({"省"},A840),0),IFERROR(FIND({"市"},A840),0),IFERROR(FIND({"区"},A840),0),IFERROR(FIND({"县"},A840),0))-1+2)</f>
        <v>通济街道</v>
      </c>
      <c r="O840" s="4" t="str" cm="1">
        <f t="array" ref="O840">_xlfn.LET(_xlpm.fullText,A840,_xlpm.streetPos,FIND("街道",_xlpm.fullText)+2,_xlpm.prefixText,LEFT(_xlpm.fullText,_xlpm.streetPos-1),_xlpm.adminPos,MAX(IFERROR(FIND({"省","市","区","县"},_xlpm.prefixText),0)),IF(_xlpm.adminPos&gt;0,MID(_xlpm.prefixText,_xlpm.adminPos+1,_xlpm.streetPos-_xlpm.adminPos-3+2),LEFT(_xlpm.prefixText,FIND("街道",_xlpm.prefixText)-1+2)))</f>
        <v>通济街道</v>
      </c>
      <c r="Q840" s="4" t="str" cm="1">
        <f t="array" ref="Q840">_xlfn.LET(_xlpm.fullText,A840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通济街道</v>
      </c>
    </row>
    <row r="841" ht="36" spans="1:17">
      <c r="A841" s="5" t="s">
        <v>398</v>
      </c>
      <c r="K841" s="4" t="str" cm="1">
        <f t="array" ref="K841">MID(A841,MAX(IFERROR(FIND({"省","市","区","县"},A841),0))+1,FIND("街道",A841)-MAX(IFERROR(FIND({"省","市","区","县"},A841),0))-1+2)</f>
        <v>曲阜市鲁城街道</v>
      </c>
      <c r="M841" s="4" t="str" cm="1">
        <f t="array" ref="M841">MID(A841,MAX(IFERROR(FIND({"省"},A841),0),IFERROR(FIND({"市"},A841),0),IFERROR(FIND({"区"},A841),0),IFERROR(FIND({"县"},A841),0))+1,FIND("街道",A841)-MAX(IFERROR(FIND({"省"},A841),0),IFERROR(FIND({"市"},A841),0),IFERROR(FIND({"区"},A841),0),IFERROR(FIND({"县"},A841),0))-1+2)</f>
        <v>曲阜市鲁城街道</v>
      </c>
      <c r="O841" s="4" t="str" cm="1">
        <f t="array" ref="O841">_xlfn.LET(_xlpm.fullText,A841,_xlpm.streetPos,FIND("街道",_xlpm.fullText)+2,_xlpm.prefixText,LEFT(_xlpm.fullText,_xlpm.streetPos-1),_xlpm.adminPos,MAX(IFERROR(FIND({"省","市","区","县"},_xlpm.prefixText),0)),IF(_xlpm.adminPos&gt;0,MID(_xlpm.prefixText,_xlpm.adminPos+1,_xlpm.streetPos-_xlpm.adminPos-3+2),LEFT(_xlpm.prefixText,FIND("街道",_xlpm.prefixText)-1+2)))</f>
        <v>曲阜市鲁城街道</v>
      </c>
      <c r="Q841" s="4" t="str" cm="1">
        <f t="array" ref="Q841">_xlfn.LET(_xlpm.fullText,A841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鲁城街道</v>
      </c>
    </row>
    <row r="842" ht="36" spans="1:17">
      <c r="A842" s="5" t="s">
        <v>399</v>
      </c>
      <c r="K842" s="4" t="str" cm="1">
        <f t="array" ref="K842">MID(A842,MAX(IFERROR(FIND({"省","市","区","县"},A842),0))+1,FIND("街道",A842)-MAX(IFERROR(FIND({"省","市","区","县"},A842),0))-1+2)</f>
        <v>新城街道</v>
      </c>
      <c r="M842" s="4" t="str" cm="1">
        <f t="array" ref="M842">MID(A842,MAX(IFERROR(FIND({"省"},A842),0),IFERROR(FIND({"市"},A842),0),IFERROR(FIND({"区"},A842),0),IFERROR(FIND({"县"},A842),0))+1,FIND("街道",A842)-MAX(IFERROR(FIND({"省"},A842),0),IFERROR(FIND({"市"},A842),0),IFERROR(FIND({"区"},A842),0),IFERROR(FIND({"县"},A842),0))-1+2)</f>
        <v>新城街道</v>
      </c>
      <c r="O842" s="4" t="str" cm="1">
        <f t="array" ref="O842">_xlfn.LET(_xlpm.fullText,A842,_xlpm.streetPos,FIND("街道",_xlpm.fullText)+2,_xlpm.prefixText,LEFT(_xlpm.fullText,_xlpm.streetPos-1),_xlpm.adminPos,MAX(IFERROR(FIND({"省","市","区","县"},_xlpm.prefixText),0)),IF(_xlpm.adminPos&gt;0,MID(_xlpm.prefixText,_xlpm.adminPos+1,_xlpm.streetPos-_xlpm.adminPos-3+2),LEFT(_xlpm.prefixText,FIND("街道",_xlpm.prefixText)-1+2)))</f>
        <v>新城街道</v>
      </c>
      <c r="Q842" s="4" t="str" cm="1">
        <f t="array" ref="Q842">_xlfn.LET(_xlpm.fullText,A842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新城街道</v>
      </c>
    </row>
    <row r="843" ht="24" spans="1:17">
      <c r="A843" s="5" t="s">
        <v>400</v>
      </c>
      <c r="K843" s="4" t="str" cm="1">
        <f t="array" ref="K843">MID(A843,MAX(IFERROR(FIND({"省","市","区","县"},A843),0))+1,FIND("街道",A843)-MAX(IFERROR(FIND({"省","市","区","县"},A843),0))-1+2)</f>
        <v>临城街道</v>
      </c>
      <c r="M843" s="4" t="str" cm="1">
        <f t="array" ref="M843">MID(A843,MAX(IFERROR(FIND({"省"},A843),0),IFERROR(FIND({"市"},A843),0),IFERROR(FIND({"区"},A843),0),IFERROR(FIND({"县"},A843),0))+1,FIND("街道",A843)-MAX(IFERROR(FIND({"省"},A843),0),IFERROR(FIND({"市"},A843),0),IFERROR(FIND({"区"},A843),0),IFERROR(FIND({"县"},A843),0))-1+2)</f>
        <v>临城街道</v>
      </c>
      <c r="O843" s="4" t="str" cm="1">
        <f t="array" ref="O843">_xlfn.LET(_xlpm.fullText,A843,_xlpm.streetPos,FIND("街道",_xlpm.fullText)+2,_xlpm.prefixText,LEFT(_xlpm.fullText,_xlpm.streetPos-1),_xlpm.adminPos,MAX(IFERROR(FIND({"省","市","区","县"},_xlpm.prefixText),0)),IF(_xlpm.adminPos&gt;0,MID(_xlpm.prefixText,_xlpm.adminPos+1,_xlpm.streetPos-_xlpm.adminPos-3+2),LEFT(_xlpm.prefixText,FIND("街道",_xlpm.prefixText)-1+2)))</f>
        <v>临城街道</v>
      </c>
      <c r="Q843" s="4" t="str" cm="1">
        <f t="array" ref="Q843">_xlfn.LET(_xlpm.fullText,A843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临城街道</v>
      </c>
    </row>
    <row r="844" ht="36" spans="1:17">
      <c r="A844" s="5" t="s">
        <v>346</v>
      </c>
      <c r="K844" s="4" t="str" cm="1">
        <f t="array" ref="K844">MID(A844,MAX(IFERROR(FIND({"省","市","区","县"},A844),0))+1,FIND("街道",A844)-MAX(IFERROR(FIND({"省","市","区","县"},A844),0))-1+2)</f>
        <v>金山桥街道</v>
      </c>
      <c r="M844" s="4" t="str" cm="1">
        <f t="array" ref="M844">MID(A844,MAX(IFERROR(FIND({"省"},A844),0),IFERROR(FIND({"市"},A844),0),IFERROR(FIND({"区"},A844),0),IFERROR(FIND({"县"},A844),0))+1,FIND("街道",A844)-MAX(IFERROR(FIND({"省"},A844),0),IFERROR(FIND({"市"},A844),0),IFERROR(FIND({"区"},A844),0),IFERROR(FIND({"县"},A844),0))-1+2)</f>
        <v>金山桥街道</v>
      </c>
      <c r="O844" s="4" t="str" cm="1">
        <f t="array" ref="O844">_xlfn.LET(_xlpm.fullText,A844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44" s="4" t="str" cm="1">
        <f t="array" ref="Q844">_xlfn.LET(_xlpm.fullText,A844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45" ht="36" spans="1:17">
      <c r="A845" s="5" t="s">
        <v>346</v>
      </c>
      <c r="K845" s="4" t="str" cm="1">
        <f t="array" ref="K845">MID(A845,MAX(IFERROR(FIND({"省","市","区","县"},A845),0))+1,FIND("街道",A845)-MAX(IFERROR(FIND({"省","市","区","县"},A845),0))-1+2)</f>
        <v>金山桥街道</v>
      </c>
      <c r="M845" s="4" t="str" cm="1">
        <f t="array" ref="M845">MID(A845,MAX(IFERROR(FIND({"省"},A845),0),IFERROR(FIND({"市"},A845),0),IFERROR(FIND({"区"},A845),0),IFERROR(FIND({"县"},A845),0))+1,FIND("街道",A845)-MAX(IFERROR(FIND({"省"},A845),0),IFERROR(FIND({"市"},A845),0),IFERROR(FIND({"区"},A845),0),IFERROR(FIND({"县"},A845),0))-1+2)</f>
        <v>金山桥街道</v>
      </c>
      <c r="O845" s="4" t="str" cm="1">
        <f t="array" ref="O845">_xlfn.LET(_xlpm.fullText,A845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45" s="4" t="str" cm="1">
        <f t="array" ref="Q845">_xlfn.LET(_xlpm.fullText,A845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46" ht="24" spans="1:17">
      <c r="A846" s="5" t="s">
        <v>401</v>
      </c>
      <c r="K846" s="4" t="str" cm="1">
        <f t="array" ref="K846">MID(A846,MAX(IFERROR(FIND({"省","市","区","县"},A846),0))+1,FIND("街道",A846)-MAX(IFERROR(FIND({"省","市","区","县"},A846),0))-1+2)</f>
        <v>汉兴街道</v>
      </c>
      <c r="M846" s="4" t="str" cm="1">
        <f t="array" ref="M846">MID(A846,MAX(IFERROR(FIND({"省"},A846),0),IFERROR(FIND({"市"},A846),0),IFERROR(FIND({"区"},A846),0),IFERROR(FIND({"县"},A846),0))+1,FIND("街道",A846)-MAX(IFERROR(FIND({"省"},A846),0),IFERROR(FIND({"市"},A846),0),IFERROR(FIND({"区"},A846),0),IFERROR(FIND({"县"},A846),0))-1+2)</f>
        <v>汉兴街道</v>
      </c>
      <c r="O846" s="4" t="str" cm="1">
        <f t="array" ref="O846">_xlfn.LET(_xlpm.fullText,A846,_xlpm.streetPos,FIND("街道",_xlpm.fullText)+2,_xlpm.prefixText,LEFT(_xlpm.fullText,_xlpm.streetPos-1),_xlpm.adminPos,MAX(IFERROR(FIND({"省","市","区","县"},_xlpm.prefixText),0)),IF(_xlpm.adminPos&gt;0,MID(_xlpm.prefixText,_xlpm.adminPos+1,_xlpm.streetPos-_xlpm.adminPos-3+2),LEFT(_xlpm.prefixText,FIND("街道",_xlpm.prefixText)-1+2)))</f>
        <v>汉兴街道</v>
      </c>
      <c r="Q846" s="4" t="str" cm="1">
        <f t="array" ref="Q846">_xlfn.LET(_xlpm.fullText,A846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汉兴街道</v>
      </c>
    </row>
    <row r="847" ht="36" spans="1:17">
      <c r="A847" s="5" t="s">
        <v>346</v>
      </c>
      <c r="K847" s="4" t="str" cm="1">
        <f t="array" ref="K847">MID(A847,MAX(IFERROR(FIND({"省","市","区","县"},A847),0))+1,FIND("街道",A847)-MAX(IFERROR(FIND({"省","市","区","县"},A847),0))-1+2)</f>
        <v>金山桥街道</v>
      </c>
      <c r="M847" s="4" t="str" cm="1">
        <f t="array" ref="M847">MID(A847,MAX(IFERROR(FIND({"省"},A847),0),IFERROR(FIND({"市"},A847),0),IFERROR(FIND({"区"},A847),0),IFERROR(FIND({"县"},A847),0))+1,FIND("街道",A847)-MAX(IFERROR(FIND({"省"},A847),0),IFERROR(FIND({"市"},A847),0),IFERROR(FIND({"区"},A847),0),IFERROR(FIND({"县"},A847),0))-1+2)</f>
        <v>金山桥街道</v>
      </c>
      <c r="O847" s="4" t="str" cm="1">
        <f t="array" ref="O847">_xlfn.LET(_xlpm.fullText,A847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47" s="4" t="str" cm="1">
        <f t="array" ref="Q847">_xlfn.LET(_xlpm.fullText,A847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48" ht="36" spans="1:17">
      <c r="A848" s="5" t="s">
        <v>346</v>
      </c>
      <c r="K848" s="4" t="str" cm="1">
        <f t="array" ref="K848">MID(A848,MAX(IFERROR(FIND({"省","市","区","县"},A848),0))+1,FIND("街道",A848)-MAX(IFERROR(FIND({"省","市","区","县"},A848),0))-1+2)</f>
        <v>金山桥街道</v>
      </c>
      <c r="M848" s="4" t="str" cm="1">
        <f t="array" ref="M848">MID(A848,MAX(IFERROR(FIND({"省"},A848),0),IFERROR(FIND({"市"},A848),0),IFERROR(FIND({"区"},A848),0),IFERROR(FIND({"县"},A848),0))+1,FIND("街道",A848)-MAX(IFERROR(FIND({"省"},A848),0),IFERROR(FIND({"市"},A848),0),IFERROR(FIND({"区"},A848),0),IFERROR(FIND({"县"},A848),0))-1+2)</f>
        <v>金山桥街道</v>
      </c>
      <c r="O848" s="4" t="str" cm="1">
        <f t="array" ref="O848">_xlfn.LET(_xlpm.fullText,A848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48" s="4" t="str" cm="1">
        <f t="array" ref="Q848">_xlfn.LET(_xlpm.fullText,A848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49" ht="36" spans="1:17">
      <c r="A849" s="5" t="s">
        <v>402</v>
      </c>
      <c r="K849" s="4" t="str" cm="1">
        <f t="array" ref="K849">MID(A849,MAX(IFERROR(FIND({"省","市","区","县"},A849),0))+1,FIND("街道",A849)-MAX(IFERROR(FIND({"省","市","区","县"},A849),0))-1+2)</f>
        <v>龙河街道</v>
      </c>
      <c r="M849" s="4" t="str" cm="1">
        <f t="array" ref="M849">MID(A849,MAX(IFERROR(FIND({"省"},A849),0),IFERROR(FIND({"市"},A849),0),IFERROR(FIND({"区"},A849),0),IFERROR(FIND({"县"},A849),0))+1,FIND("街道",A849)-MAX(IFERROR(FIND({"省"},A849),0),IFERROR(FIND({"市"},A849),0),IFERROR(FIND({"区"},A849),0),IFERROR(FIND({"县"},A849),0))-1+2)</f>
        <v>龙河街道</v>
      </c>
      <c r="O849" s="4" t="str" cm="1">
        <f t="array" ref="O849">_xlfn.LET(_xlpm.fullText,A849,_xlpm.streetPos,FIND("街道",_xlpm.fullText)+2,_xlpm.prefixText,LEFT(_xlpm.fullText,_xlpm.streetPos-1),_xlpm.adminPos,MAX(IFERROR(FIND({"省","市","区","县"},_xlpm.prefixText),0)),IF(_xlpm.adminPos&gt;0,MID(_xlpm.prefixText,_xlpm.adminPos+1,_xlpm.streetPos-_xlpm.adminPos-3+2),LEFT(_xlpm.prefixText,FIND("街道",_xlpm.prefixText)-1+2)))</f>
        <v>龙河街道</v>
      </c>
      <c r="Q849" s="4" t="str" cm="1">
        <f t="array" ref="Q849">_xlfn.LET(_xlpm.fullText,A849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龙河街道</v>
      </c>
    </row>
    <row r="850" ht="36" spans="1:17">
      <c r="A850" s="5" t="s">
        <v>346</v>
      </c>
      <c r="K850" s="4" t="str" cm="1">
        <f t="array" ref="K850">MID(A850,MAX(IFERROR(FIND({"省","市","区","县"},A850),0))+1,FIND("街道",A850)-MAX(IFERROR(FIND({"省","市","区","县"},A850),0))-1+2)</f>
        <v>金山桥街道</v>
      </c>
      <c r="M850" s="4" t="str" cm="1">
        <f t="array" ref="M850">MID(A850,MAX(IFERROR(FIND({"省"},A850),0),IFERROR(FIND({"市"},A850),0),IFERROR(FIND({"区"},A850),0),IFERROR(FIND({"县"},A850),0))+1,FIND("街道",A850)-MAX(IFERROR(FIND({"省"},A850),0),IFERROR(FIND({"市"},A850),0),IFERROR(FIND({"区"},A850),0),IFERROR(FIND({"县"},A850),0))-1+2)</f>
        <v>金山桥街道</v>
      </c>
      <c r="O850" s="4" t="str" cm="1">
        <f t="array" ref="O850">_xlfn.LET(_xlpm.fullText,A850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50" s="4" t="str" cm="1">
        <f t="array" ref="Q850">_xlfn.LET(_xlpm.fullText,A850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51" ht="28.8" spans="1:17">
      <c r="A851" s="5" t="s">
        <v>403</v>
      </c>
      <c r="K851" s="4" t="str" cm="1">
        <f t="array" ref="K851">MID(A851,MAX(IFERROR(FIND({"省","市","区","县"},A851),0))+1,FIND("街道",A851)-MAX(IFERROR(FIND({"省","市","区","县"},A851),0))-1+2)</f>
        <v>句容市黄梅街道</v>
      </c>
      <c r="M851" s="4" t="str" cm="1">
        <f t="array" ref="M851">MID(A851,MAX(IFERROR(FIND({"省"},A851),0),IFERROR(FIND({"市"},A851),0),IFERROR(FIND({"区"},A851),0),IFERROR(FIND({"县"},A851),0))+1,FIND("街道",A851)-MAX(IFERROR(FIND({"省"},A851),0),IFERROR(FIND({"市"},A851),0),IFERROR(FIND({"区"},A851),0),IFERROR(FIND({"县"},A851),0))-1+2)</f>
        <v>句容市黄梅街道</v>
      </c>
      <c r="O851" s="4" t="str" cm="1">
        <f t="array" ref="O851">_xlfn.LET(_xlpm.fullText,A851,_xlpm.streetPos,FIND("街道",_xlpm.fullText)+2,_xlpm.prefixText,LEFT(_xlpm.fullText,_xlpm.streetPos-1),_xlpm.adminPos,MAX(IFERROR(FIND({"省","市","区","县"},_xlpm.prefixText),0)),IF(_xlpm.adminPos&gt;0,MID(_xlpm.prefixText,_xlpm.adminPos+1,_xlpm.streetPos-_xlpm.adminPos-3+2),LEFT(_xlpm.prefixText,FIND("街道",_xlpm.prefixText)-1+2)))</f>
        <v>句容市黄梅街道</v>
      </c>
      <c r="Q851" s="4" t="str" cm="1">
        <f t="array" ref="Q851">_xlfn.LET(_xlpm.fullText,A851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黄梅街道</v>
      </c>
    </row>
    <row r="852" ht="36" spans="1:17">
      <c r="A852" s="5" t="s">
        <v>345</v>
      </c>
      <c r="K852" s="4" t="str" cm="1">
        <f t="array" ref="K852">MID(A852,MAX(IFERROR(FIND({"省","市","区","县"},A852),0))+1,FIND("街道",A852)-MAX(IFERROR(FIND({"省","市","区","县"},A852),0))-1+2)</f>
        <v>火花街道</v>
      </c>
      <c r="M852" s="4" t="str" cm="1">
        <f t="array" ref="M852">MID(A852,MAX(IFERROR(FIND({"省"},A852),0),IFERROR(FIND({"市"},A852),0),IFERROR(FIND({"区"},A852),0),IFERROR(FIND({"县"},A852),0))+1,FIND("街道",A852)-MAX(IFERROR(FIND({"省"},A852),0),IFERROR(FIND({"市"},A852),0),IFERROR(FIND({"区"},A852),0),IFERROR(FIND({"县"},A852),0))-1+2)</f>
        <v>火花街道</v>
      </c>
      <c r="O852" s="4" t="str" cm="1">
        <f t="array" ref="O852">_xlfn.LET(_xlpm.fullText,A852,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52" s="4" t="str" cm="1">
        <f t="array" ref="Q852">_xlfn.LET(_xlpm.fullText,A852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53" ht="36" spans="1:17">
      <c r="A853" s="5" t="s">
        <v>404</v>
      </c>
      <c r="K853" s="4" t="str" cm="1">
        <f t="array" ref="K853">MID(A853,MAX(IFERROR(FIND({"省","市","区","县"},A853),0))+1,FIND("街道",A853)-MAX(IFERROR(FIND({"省","市","区","县"},A853),0))-1+2)</f>
        <v>和平里街道</v>
      </c>
      <c r="M853" s="4" t="str" cm="1">
        <f t="array" ref="M853">MID(A853,MAX(IFERROR(FIND({"省"},A853),0),IFERROR(FIND({"市"},A853),0),IFERROR(FIND({"区"},A853),0),IFERROR(FIND({"县"},A853),0))+1,FIND("街道",A853)-MAX(IFERROR(FIND({"省"},A853),0),IFERROR(FIND({"市"},A853),0),IFERROR(FIND({"区"},A853),0),IFERROR(FIND({"县"},A853),0))-1+2)</f>
        <v>和平里街道</v>
      </c>
      <c r="O853" s="4" t="str" cm="1">
        <f t="array" ref="O853">_xlfn.LET(_xlpm.fullText,A853,_xlpm.streetPos,FIND("街道",_xlpm.fullText)+2,_xlpm.prefixText,LEFT(_xlpm.fullText,_xlpm.streetPos-1),_xlpm.adminPos,MAX(IFERROR(FIND({"省","市","区","县"},_xlpm.prefixText),0)),IF(_xlpm.adminPos&gt;0,MID(_xlpm.prefixText,_xlpm.adminPos+1,_xlpm.streetPos-_xlpm.adminPos-3+2),LEFT(_xlpm.prefixText,FIND("街道",_xlpm.prefixText)-1+2)))</f>
        <v>和平里街道</v>
      </c>
      <c r="Q853" s="4" t="str" cm="1">
        <f t="array" ref="Q853">_xlfn.LET(_xlpm.fullText,A853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和平里街道</v>
      </c>
    </row>
    <row r="854" ht="48" spans="1:17">
      <c r="A854" s="5" t="s">
        <v>405</v>
      </c>
      <c r="K854" s="4" t="str" cm="1">
        <f t="array" ref="K854">MID(A854,MAX(IFERROR(FIND({"省","市","区","县"},A854),0))+1,FIND("街道",A854)-MAX(IFERROR(FIND({"省","市","区","县"},A854),0))-1+2)</f>
        <v>和平里街道</v>
      </c>
      <c r="M854" s="4" t="str" cm="1">
        <f t="array" ref="M854">MID(A854,MAX(IFERROR(FIND({"省"},A854),0),IFERROR(FIND({"市"},A854),0),IFERROR(FIND({"区"},A854),0),IFERROR(FIND({"县"},A854),0))+1,FIND("街道",A854)-MAX(IFERROR(FIND({"省"},A854),0),IFERROR(FIND({"市"},A854),0),IFERROR(FIND({"区"},A854),0),IFERROR(FIND({"县"},A854),0))-1+2)</f>
        <v>和平里街道</v>
      </c>
      <c r="O854" s="4" t="str" cm="1">
        <f t="array" ref="O854">_xlfn.LET(_xlpm.fullText,A854,_xlpm.streetPos,FIND("街道",_xlpm.fullText)+2,_xlpm.prefixText,LEFT(_xlpm.fullText,_xlpm.streetPos-1),_xlpm.adminPos,MAX(IFERROR(FIND({"省","市","区","县"},_xlpm.prefixText),0)),IF(_xlpm.adminPos&gt;0,MID(_xlpm.prefixText,_xlpm.adminPos+1,_xlpm.streetPos-_xlpm.adminPos-3+2),LEFT(_xlpm.prefixText,FIND("街道",_xlpm.prefixText)-1+2)))</f>
        <v>和平里街道</v>
      </c>
      <c r="Q854" s="4" t="str" cm="1">
        <f t="array" ref="Q854">_xlfn.LET(_xlpm.fullText,A854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和平里街道</v>
      </c>
    </row>
    <row r="855" ht="36" spans="1:17">
      <c r="A855" s="5" t="s">
        <v>346</v>
      </c>
      <c r="K855" s="4" t="str" cm="1">
        <f t="array" ref="K855">MID(A855,MAX(IFERROR(FIND({"省","市","区","县"},A855),0))+1,FIND("街道",A855)-MAX(IFERROR(FIND({"省","市","区","县"},A855),0))-1+2)</f>
        <v>金山桥街道</v>
      </c>
      <c r="M855" s="4" t="str" cm="1">
        <f t="array" ref="M855">MID(A855,MAX(IFERROR(FIND({"省"},A855),0),IFERROR(FIND({"市"},A855),0),IFERROR(FIND({"区"},A855),0),IFERROR(FIND({"县"},A855),0))+1,FIND("街道",A855)-MAX(IFERROR(FIND({"省"},A855),0),IFERROR(FIND({"市"},A855),0),IFERROR(FIND({"区"},A855),0),IFERROR(FIND({"县"},A855),0))-1+2)</f>
        <v>金山桥街道</v>
      </c>
      <c r="O855" s="4" t="str" cm="1">
        <f t="array" ref="O855">_xlfn.LET(_xlpm.fullText,A855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55" s="4" t="str" cm="1">
        <f t="array" ref="Q855">_xlfn.LET(_xlpm.fullText,A855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56" ht="28.8" spans="1:17">
      <c r="A856" s="5" t="s">
        <v>160</v>
      </c>
      <c r="K856" s="4" t="str" cm="1">
        <f t="array" ref="K856">MID(A856,MAX(IFERROR(FIND({"省","市","区","县"},A856),0))+1,FIND("街道",A856)-MAX(IFERROR(FIND({"省","市","区","县"},A856),0))-1+2)</f>
        <v>金山桥街道</v>
      </c>
      <c r="M856" s="4" t="str" cm="1">
        <f t="array" ref="M856">MID(A856,MAX(IFERROR(FIND({"省"},A856),0),IFERROR(FIND({"市"},A856),0),IFERROR(FIND({"区"},A856),0),IFERROR(FIND({"县"},A856),0))+1,FIND("街道",A856)-MAX(IFERROR(FIND({"省"},A856),0),IFERROR(FIND({"市"},A856),0),IFERROR(FIND({"区"},A856),0),IFERROR(FIND({"县"},A856),0))-1+2)</f>
        <v>金山桥街道</v>
      </c>
      <c r="O856" s="4" t="str" cm="1">
        <f t="array" ref="O856">_xlfn.LET(_xlpm.fullText,A856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56" s="4" t="str" cm="1">
        <f t="array" ref="Q856">_xlfn.LET(_xlpm.fullText,A856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57" ht="36" spans="1:17">
      <c r="A857" s="5" t="s">
        <v>86</v>
      </c>
      <c r="K857" s="4" t="str" cm="1">
        <f t="array" ref="K857">MID(A857,MAX(IFERROR(FIND({"省","市","区","县"},A857),0))+1,FIND("街道",A857)-MAX(IFERROR(FIND({"省","市","区","县"},A857),0))-1+2)</f>
        <v>湖里街道</v>
      </c>
      <c r="M857" s="4" t="str" cm="1">
        <f t="array" ref="M857">MID(A857,MAX(IFERROR(FIND({"省"},A857),0),IFERROR(FIND({"市"},A857),0),IFERROR(FIND({"区"},A857),0),IFERROR(FIND({"县"},A857),0))+1,FIND("街道",A857)-MAX(IFERROR(FIND({"省"},A857),0),IFERROR(FIND({"市"},A857),0),IFERROR(FIND({"区"},A857),0),IFERROR(FIND({"县"},A857),0))-1+2)</f>
        <v>湖里街道</v>
      </c>
      <c r="O857" s="4" t="str" cm="1">
        <f t="array" ref="O857">_xlfn.LET(_xlpm.fullText,A857,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857" s="4" t="str" cm="1">
        <f t="array" ref="Q857">_xlfn.LET(_xlpm.fullText,A857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858" ht="36" spans="1:17">
      <c r="A858" s="5" t="s">
        <v>406</v>
      </c>
      <c r="K858" s="4" t="str" cm="1">
        <f t="array" ref="K858">MID(A858,MAX(IFERROR(FIND({"省","市","区","县"},A858),0))+1,FIND("街道",A858)-MAX(IFERROR(FIND({"省","市","区","县"},A858),0))-1+2)</f>
        <v>鹭江街道</v>
      </c>
      <c r="M858" s="4" t="str" cm="1">
        <f t="array" ref="M858">MID(A858,MAX(IFERROR(FIND({"省"},A858),0),IFERROR(FIND({"市"},A858),0),IFERROR(FIND({"区"},A858),0),IFERROR(FIND({"县"},A858),0))+1,FIND("街道",A858)-MAX(IFERROR(FIND({"省"},A858),0),IFERROR(FIND({"市"},A858),0),IFERROR(FIND({"区"},A858),0),IFERROR(FIND({"县"},A858),0))-1+2)</f>
        <v>鹭江街道</v>
      </c>
      <c r="O858" s="4" t="str" cm="1">
        <f t="array" ref="O858">_xlfn.LET(_xlpm.fullText,A858,_xlpm.streetPos,FIND("街道",_xlpm.fullText)+2,_xlpm.prefixText,LEFT(_xlpm.fullText,_xlpm.streetPos-1),_xlpm.adminPos,MAX(IFERROR(FIND({"省","市","区","县"},_xlpm.prefixText),0)),IF(_xlpm.adminPos&gt;0,MID(_xlpm.prefixText,_xlpm.adminPos+1,_xlpm.streetPos-_xlpm.adminPos-3+2),LEFT(_xlpm.prefixText,FIND("街道",_xlpm.prefixText)-1+2)))</f>
        <v>鹭江街道</v>
      </c>
      <c r="Q858" s="4" t="str" cm="1">
        <f t="array" ref="Q858">_xlfn.LET(_xlpm.fullText,A858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鹭江街道</v>
      </c>
    </row>
    <row r="859" ht="36" spans="1:17">
      <c r="A859" s="5" t="s">
        <v>407</v>
      </c>
      <c r="K859" s="4" t="str" cm="1">
        <f t="array" ref="K859">MID(A859,MAX(IFERROR(FIND({"省","市","区","县"},A859),0))+1,FIND("街道",A859)-MAX(IFERROR(FIND({"省","市","区","县"},A859),0))-1+2)</f>
        <v>湖里街道</v>
      </c>
      <c r="M859" s="4" t="str" cm="1">
        <f t="array" ref="M859">MID(A859,MAX(IFERROR(FIND({"省"},A859),0),IFERROR(FIND({"市"},A859),0),IFERROR(FIND({"区"},A859),0),IFERROR(FIND({"县"},A859),0))+1,FIND("街道",A859)-MAX(IFERROR(FIND({"省"},A859),0),IFERROR(FIND({"市"},A859),0),IFERROR(FIND({"区"},A859),0),IFERROR(FIND({"县"},A859),0))-1+2)</f>
        <v>湖里街道</v>
      </c>
      <c r="O859" s="4" t="str" cm="1">
        <f t="array" ref="O859">_xlfn.LET(_xlpm.fullText,A859,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859" s="4" t="str" cm="1">
        <f t="array" ref="Q859">_xlfn.LET(_xlpm.fullText,A859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860" ht="36" spans="1:17">
      <c r="A860" s="5" t="s">
        <v>408</v>
      </c>
      <c r="K860" s="4" t="str" cm="1">
        <f t="array" ref="K860">MID(A860,MAX(IFERROR(FIND({"省","市","区","县"},A860),0))+1,FIND("街道",A860)-MAX(IFERROR(FIND({"省","市","区","县"},A860),0))-1+2)</f>
        <v>唯亭街道</v>
      </c>
      <c r="M860" s="4" t="str" cm="1">
        <f t="array" ref="M860">MID(A860,MAX(IFERROR(FIND({"省"},A860),0),IFERROR(FIND({"市"},A860),0),IFERROR(FIND({"区"},A860),0),IFERROR(FIND({"县"},A860),0))+1,FIND("街道",A860)-MAX(IFERROR(FIND({"省"},A860),0),IFERROR(FIND({"市"},A860),0),IFERROR(FIND({"区"},A860),0),IFERROR(FIND({"县"},A860),0))-1+2)</f>
        <v>唯亭街道</v>
      </c>
      <c r="O860" s="4" t="str" cm="1">
        <f t="array" ref="O860">_xlfn.LET(_xlpm.fullText,A860,_xlpm.streetPos,FIND("街道",_xlpm.fullText)+2,_xlpm.prefixText,LEFT(_xlpm.fullText,_xlpm.streetPos-1),_xlpm.adminPos,MAX(IFERROR(FIND({"省","市","区","县"},_xlpm.prefixText),0)),IF(_xlpm.adminPos&gt;0,MID(_xlpm.prefixText,_xlpm.adminPos+1,_xlpm.streetPos-_xlpm.adminPos-3+2),LEFT(_xlpm.prefixText,FIND("街道",_xlpm.prefixText)-1+2)))</f>
        <v>唯亭街道</v>
      </c>
      <c r="Q860" s="4" t="str" cm="1">
        <f t="array" ref="Q860">_xlfn.LET(_xlpm.fullText,A860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唯亭街道</v>
      </c>
    </row>
    <row r="861" ht="28.8" spans="1:17">
      <c r="A861" s="5" t="s">
        <v>111</v>
      </c>
      <c r="K861" s="4" t="str" cm="1">
        <f t="array" ref="K861">MID(A861,MAX(IFERROR(FIND({"省","市","区","县"},A861),0))+1,FIND("街道",A861)-MAX(IFERROR(FIND({"省","市","区","县"},A861),0))-1+2)</f>
        <v>金山桥街道</v>
      </c>
      <c r="M861" s="4" t="str" cm="1">
        <f t="array" ref="M861">MID(A861,MAX(IFERROR(FIND({"省"},A861),0),IFERROR(FIND({"市"},A861),0),IFERROR(FIND({"区"},A861),0),IFERROR(FIND({"县"},A861),0))+1,FIND("街道",A861)-MAX(IFERROR(FIND({"省"},A861),0),IFERROR(FIND({"市"},A861),0),IFERROR(FIND({"区"},A861),0),IFERROR(FIND({"县"},A861),0))-1+2)</f>
        <v>金山桥街道</v>
      </c>
      <c r="O861" s="4" t="str" cm="1">
        <f t="array" ref="O861">_xlfn.LET(_xlpm.fullText,A861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61" s="4" t="str" cm="1">
        <f t="array" ref="Q861">_xlfn.LET(_xlpm.fullText,A861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62" ht="36" spans="1:17">
      <c r="A862" s="5" t="s">
        <v>346</v>
      </c>
      <c r="K862" s="4" t="str" cm="1">
        <f t="array" ref="K862">MID(A862,MAX(IFERROR(FIND({"省","市","区","县"},A862),0))+1,FIND("街道",A862)-MAX(IFERROR(FIND({"省","市","区","县"},A862),0))-1+2)</f>
        <v>金山桥街道</v>
      </c>
      <c r="M862" s="4" t="str" cm="1">
        <f t="array" ref="M862">MID(A862,MAX(IFERROR(FIND({"省"},A862),0),IFERROR(FIND({"市"},A862),0),IFERROR(FIND({"区"},A862),0),IFERROR(FIND({"县"},A862),0))+1,FIND("街道",A862)-MAX(IFERROR(FIND({"省"},A862),0),IFERROR(FIND({"市"},A862),0),IFERROR(FIND({"区"},A862),0),IFERROR(FIND({"县"},A862),0))-1+2)</f>
        <v>金山桥街道</v>
      </c>
      <c r="O862" s="4" t="str" cm="1">
        <f t="array" ref="O862">_xlfn.LET(_xlpm.fullText,A862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62" s="4" t="str" cm="1">
        <f t="array" ref="Q862">_xlfn.LET(_xlpm.fullText,A862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63" ht="28.8" spans="1:17">
      <c r="A863" s="5" t="s">
        <v>409</v>
      </c>
      <c r="K863" s="4" t="str" cm="1">
        <f t="array" ref="K863">MID(A863,MAX(IFERROR(FIND({"省","市","区","县"},A863),0))+1,FIND("街道",A863)-MAX(IFERROR(FIND({"省","市","区","县"},A863),0))-1+2)</f>
        <v>金山桥街道</v>
      </c>
      <c r="M863" s="4" t="str" cm="1">
        <f t="array" ref="M863">MID(A863,MAX(IFERROR(FIND({"省"},A863),0),IFERROR(FIND({"市"},A863),0),IFERROR(FIND({"区"},A863),0),IFERROR(FIND({"县"},A863),0))+1,FIND("街道",A863)-MAX(IFERROR(FIND({"省"},A863),0),IFERROR(FIND({"市"},A863),0),IFERROR(FIND({"区"},A863),0),IFERROR(FIND({"县"},A863),0))-1+2)</f>
        <v>金山桥街道</v>
      </c>
      <c r="O863" s="4" t="str" cm="1">
        <f t="array" ref="O863">_xlfn.LET(_xlpm.fullText,A863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63" s="4" t="str" cm="1">
        <f t="array" ref="Q863">_xlfn.LET(_xlpm.fullText,A863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64" ht="28.8" spans="1:17">
      <c r="A864" s="5" t="s">
        <v>111</v>
      </c>
      <c r="K864" s="4" t="str" cm="1">
        <f t="array" ref="K864">MID(A864,MAX(IFERROR(FIND({"省","市","区","县"},A864),0))+1,FIND("街道",A864)-MAX(IFERROR(FIND({"省","市","区","县"},A864),0))-1+2)</f>
        <v>金山桥街道</v>
      </c>
      <c r="M864" s="4" t="str" cm="1">
        <f t="array" ref="M864">MID(A864,MAX(IFERROR(FIND({"省"},A864),0),IFERROR(FIND({"市"},A864),0),IFERROR(FIND({"区"},A864),0),IFERROR(FIND({"县"},A864),0))+1,FIND("街道",A864)-MAX(IFERROR(FIND({"省"},A864),0),IFERROR(FIND({"市"},A864),0),IFERROR(FIND({"区"},A864),0),IFERROR(FIND({"县"},A864),0))-1+2)</f>
        <v>金山桥街道</v>
      </c>
      <c r="O864" s="4" t="str" cm="1">
        <f t="array" ref="O864">_xlfn.LET(_xlpm.fullText,A864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64" s="4" t="str" cm="1">
        <f t="array" ref="Q864">_xlfn.LET(_xlpm.fullText,A864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65" ht="36" spans="1:17">
      <c r="A865" s="5" t="s">
        <v>346</v>
      </c>
      <c r="K865" s="4" t="str" cm="1">
        <f t="array" ref="K865">MID(A865,MAX(IFERROR(FIND({"省","市","区","县"},A865),0))+1,FIND("街道",A865)-MAX(IFERROR(FIND({"省","市","区","县"},A865),0))-1+2)</f>
        <v>金山桥街道</v>
      </c>
      <c r="M865" s="4" t="str" cm="1">
        <f t="array" ref="M865">MID(A865,MAX(IFERROR(FIND({"省"},A865),0),IFERROR(FIND({"市"},A865),0),IFERROR(FIND({"区"},A865),0),IFERROR(FIND({"县"},A865),0))+1,FIND("街道",A865)-MAX(IFERROR(FIND({"省"},A865),0),IFERROR(FIND({"市"},A865),0),IFERROR(FIND({"区"},A865),0),IFERROR(FIND({"县"},A865),0))-1+2)</f>
        <v>金山桥街道</v>
      </c>
      <c r="O865" s="4" t="str" cm="1">
        <f t="array" ref="O865">_xlfn.LET(_xlpm.fullText,A865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65" s="4" t="str" cm="1">
        <f t="array" ref="Q865">_xlfn.LET(_xlpm.fullText,A865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66" ht="36" spans="1:17">
      <c r="A866" s="5" t="s">
        <v>329</v>
      </c>
      <c r="K866" s="4" t="str" cm="1">
        <f t="array" ref="K866">MID(A866,MAX(IFERROR(FIND({"省","市","区","县"},A866),0))+1,FIND("街道",A866)-MAX(IFERROR(FIND({"省","市","区","县"},A866),0))-1+2)</f>
        <v>三水街道</v>
      </c>
      <c r="M866" s="4" t="str" cm="1">
        <f t="array" ref="M866">MID(A866,MAX(IFERROR(FIND({"省"},A866),0),IFERROR(FIND({"市"},A866),0),IFERROR(FIND({"区"},A866),0),IFERROR(FIND({"县"},A866),0))+1,FIND("街道",A866)-MAX(IFERROR(FIND({"省"},A866),0),IFERROR(FIND({"市"},A866),0),IFERROR(FIND({"区"},A866),0),IFERROR(FIND({"县"},A866),0))-1+2)</f>
        <v>三水街道</v>
      </c>
      <c r="O866" s="4" t="str" cm="1">
        <f t="array" ref="O866">_xlfn.LET(_xlpm.fullText,A866,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866" s="4" t="str" cm="1">
        <f t="array" ref="Q866">_xlfn.LET(_xlpm.fullText,A866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867" ht="36" spans="1:17">
      <c r="A867" s="5" t="s">
        <v>410</v>
      </c>
      <c r="K867" s="4" t="str" cm="1">
        <f t="array" ref="K867">MID(A867,MAX(IFERROR(FIND({"省","市","区","县"},A867),0))+1,FIND("街道",A867)-MAX(IFERROR(FIND({"省","市","区","县"},A867),0))-1+2)</f>
        <v>东山街道</v>
      </c>
      <c r="M867" s="4" t="str" cm="1">
        <f t="array" ref="M867">MID(A867,MAX(IFERROR(FIND({"省"},A867),0),IFERROR(FIND({"市"},A867),0),IFERROR(FIND({"区"},A867),0),IFERROR(FIND({"县"},A867),0))+1,FIND("街道",A867)-MAX(IFERROR(FIND({"省"},A867),0),IFERROR(FIND({"市"},A867),0),IFERROR(FIND({"区"},A867),0),IFERROR(FIND({"县"},A867),0))-1+2)</f>
        <v>东山街道</v>
      </c>
      <c r="O867" s="4" t="str" cm="1">
        <f t="array" ref="O867">_xlfn.LET(_xlpm.fullText,A867,_xlpm.streetPos,FIND("街道",_xlpm.fullText)+2,_xlpm.prefixText,LEFT(_xlpm.fullText,_xlpm.streetPos-1),_xlpm.adminPos,MAX(IFERROR(FIND({"省","市","区","县"},_xlpm.prefixText),0)),IF(_xlpm.adminPos&gt;0,MID(_xlpm.prefixText,_xlpm.adminPos+1,_xlpm.streetPos-_xlpm.adminPos-3+2),LEFT(_xlpm.prefixText,FIND("街道",_xlpm.prefixText)-1+2)))</f>
        <v>东山街道</v>
      </c>
      <c r="Q867" s="4" t="str" cm="1">
        <f t="array" ref="Q867">_xlfn.LET(_xlpm.fullText,A867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东山街道</v>
      </c>
    </row>
    <row r="868" ht="36" spans="1:17">
      <c r="A868" s="5" t="s">
        <v>411</v>
      </c>
      <c r="K868" s="4" t="str" cm="1">
        <f t="array" ref="K868">MID(A868,MAX(IFERROR(FIND({"省","市","区","县"},A868),0))+1,FIND("街道",A868)-MAX(IFERROR(FIND({"省","市","区","县"},A868),0))-1+2)</f>
        <v>秣陵街道</v>
      </c>
      <c r="M868" s="4" t="str" cm="1">
        <f t="array" ref="M868">MID(A868,MAX(IFERROR(FIND({"省"},A868),0),IFERROR(FIND({"市"},A868),0),IFERROR(FIND({"区"},A868),0),IFERROR(FIND({"县"},A868),0))+1,FIND("街道",A868)-MAX(IFERROR(FIND({"省"},A868),0),IFERROR(FIND({"市"},A868),0),IFERROR(FIND({"区"},A868),0),IFERROR(FIND({"县"},A868),0))-1+2)</f>
        <v>秣陵街道</v>
      </c>
      <c r="O868" s="4" t="str" cm="1">
        <f t="array" ref="O868">_xlfn.LET(_xlpm.fullText,A868,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868" s="4" t="str" cm="1">
        <f t="array" ref="Q868">_xlfn.LET(_xlpm.fullText,A868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869" ht="60" spans="1:17">
      <c r="A869" s="5" t="s">
        <v>412</v>
      </c>
      <c r="K869" s="4" t="str" cm="1">
        <f t="array" ref="K869">MID(A869,MAX(IFERROR(FIND({"省","市","区","县"},A869),0))+1,FIND("街道",A869)-MAX(IFERROR(FIND({"省","市","区","县"},A869),0))-1+2)</f>
        <v>秣陵街道</v>
      </c>
      <c r="M869" s="4" t="str" cm="1">
        <f t="array" ref="M869">MID(A869,MAX(IFERROR(FIND({"省"},A869),0),IFERROR(FIND({"市"},A869),0),IFERROR(FIND({"区"},A869),0),IFERROR(FIND({"县"},A869),0))+1,FIND("街道",A869)-MAX(IFERROR(FIND({"省"},A869),0),IFERROR(FIND({"市"},A869),0),IFERROR(FIND({"区"},A869),0),IFERROR(FIND({"县"},A869),0))-1+2)</f>
        <v>秣陵街道</v>
      </c>
      <c r="O869" s="4" t="str" cm="1">
        <f t="array" ref="O869">_xlfn.LET(_xlpm.fullText,A869,_xlpm.streetPos,FIND("街道",_xlpm.fullText)+2,_xlpm.prefixText,LEFT(_xlpm.fullText,_xlpm.streetPos-1),_xlpm.adminPos,MAX(IFERROR(FIND({"省","市","区","县"},_xlpm.prefixText),0)),IF(_xlpm.adminPos&gt;0,MID(_xlpm.prefixText,_xlpm.adminPos+1,_xlpm.streetPos-_xlpm.adminPos-3+2),LEFT(_xlpm.prefixText,FIND("街道",_xlpm.prefixText)-1+2)))</f>
        <v>秣陵街道</v>
      </c>
      <c r="Q869" s="4" t="str" cm="1">
        <f t="array" ref="Q869">_xlfn.LET(_xlpm.fullText,A869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秣陵街道</v>
      </c>
    </row>
    <row r="870" ht="36" spans="1:17">
      <c r="A870" s="5" t="s">
        <v>413</v>
      </c>
      <c r="K870" s="4" t="str" cm="1">
        <f t="array" ref="K870">MID(A870,MAX(IFERROR(FIND({"省","市","区","县"},A870),0))+1,FIND("街道",A870)-MAX(IFERROR(FIND({"省","市","区","县"},A870),0))-1+2)</f>
        <v>狼山镇街道</v>
      </c>
      <c r="M870" s="4" t="str" cm="1">
        <f t="array" ref="M870">MID(A870,MAX(IFERROR(FIND({"省"},A870),0),IFERROR(FIND({"市"},A870),0),IFERROR(FIND({"区"},A870),0),IFERROR(FIND({"县"},A870),0))+1,FIND("街道",A870)-MAX(IFERROR(FIND({"省"},A870),0),IFERROR(FIND({"市"},A870),0),IFERROR(FIND({"区"},A870),0),IFERROR(FIND({"县"},A870),0))-1+2)</f>
        <v>狼山镇街道</v>
      </c>
      <c r="O870" s="4" t="str" cm="1">
        <f t="array" ref="O870">_xlfn.LET(_xlpm.fullText,A870,_xlpm.streetPos,FIND("街道",_xlpm.fullText)+2,_xlpm.prefixText,LEFT(_xlpm.fullText,_xlpm.streetPos-1),_xlpm.adminPos,MAX(IFERROR(FIND({"省","市","区","县"},_xlpm.prefixText),0)),IF(_xlpm.adminPos&gt;0,MID(_xlpm.prefixText,_xlpm.adminPos+1,_xlpm.streetPos-_xlpm.adminPos-3+2),LEFT(_xlpm.prefixText,FIND("街道",_xlpm.prefixText)-1+2)))</f>
        <v>狼山镇街道</v>
      </c>
      <c r="Q870" s="4" t="str" cm="1">
        <f t="array" ref="Q870">_xlfn.LET(_xlpm.fullText,A870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狼山镇街道</v>
      </c>
    </row>
    <row r="871" ht="36" spans="1:17">
      <c r="A871" s="5" t="s">
        <v>414</v>
      </c>
      <c r="K871" s="4" t="str" cm="1">
        <f t="array" ref="K871">MID(A871,MAX(IFERROR(FIND({"省","市","区","县"},A871),0))+1,FIND("街道",A871)-MAX(IFERROR(FIND({"省","市","区","县"},A871),0))-1+2)</f>
        <v>常熟市东南街道</v>
      </c>
      <c r="M871" s="4" t="str" cm="1">
        <f t="array" ref="M871">MID(A871,MAX(IFERROR(FIND({"省"},A871),0),IFERROR(FIND({"市"},A871),0),IFERROR(FIND({"区"},A871),0),IFERROR(FIND({"县"},A871),0))+1,FIND("街道",A871)-MAX(IFERROR(FIND({"省"},A871),0),IFERROR(FIND({"市"},A871),0),IFERROR(FIND({"区"},A871),0),IFERROR(FIND({"县"},A871),0))-1+2)</f>
        <v>常熟市东南街道</v>
      </c>
      <c r="O871" s="4" t="str" cm="1">
        <f t="array" ref="O871">_xlfn.LET(_xlpm.fullText,A871,_xlpm.streetPos,FIND("街道",_xlpm.fullText)+2,_xlpm.prefixText,LEFT(_xlpm.fullText,_xlpm.streetPos-1),_xlpm.adminPos,MAX(IFERROR(FIND({"省","市","区","县"},_xlpm.prefixText),0)),IF(_xlpm.adminPos&gt;0,MID(_xlpm.prefixText,_xlpm.adminPos+1,_xlpm.streetPos-_xlpm.adminPos-3+2),LEFT(_xlpm.prefixText,FIND("街道",_xlpm.prefixText)-1+2)))</f>
        <v>常熟市东南街道</v>
      </c>
      <c r="Q871" s="4" t="str" cm="1">
        <f t="array" ref="Q871">_xlfn.LET(_xlpm.fullText,A871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东南街道</v>
      </c>
    </row>
    <row r="872" ht="28.8" spans="1:17">
      <c r="A872" s="5" t="s">
        <v>111</v>
      </c>
      <c r="K872" s="4" t="str" cm="1">
        <f t="array" ref="K872">MID(A872,MAX(IFERROR(FIND({"省","市","区","县"},A872),0))+1,FIND("街道",A872)-MAX(IFERROR(FIND({"省","市","区","县"},A872),0))-1+2)</f>
        <v>金山桥街道</v>
      </c>
      <c r="M872" s="4" t="str" cm="1">
        <f t="array" ref="M872">MID(A872,MAX(IFERROR(FIND({"省"},A872),0),IFERROR(FIND({"市"},A872),0),IFERROR(FIND({"区"},A872),0),IFERROR(FIND({"县"},A872),0))+1,FIND("街道",A872)-MAX(IFERROR(FIND({"省"},A872),0),IFERROR(FIND({"市"},A872),0),IFERROR(FIND({"区"},A872),0),IFERROR(FIND({"县"},A872),0))-1+2)</f>
        <v>金山桥街道</v>
      </c>
      <c r="O872" s="4" t="str" cm="1">
        <f t="array" ref="O872">_xlfn.LET(_xlpm.fullText,A872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72" s="4" t="str" cm="1">
        <f t="array" ref="Q872">_xlfn.LET(_xlpm.fullText,A872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73" ht="36" spans="1:17">
      <c r="A873" s="5" t="s">
        <v>346</v>
      </c>
      <c r="K873" s="4" t="str" cm="1">
        <f t="array" ref="K873">MID(A873,MAX(IFERROR(FIND({"省","市","区","县"},A873),0))+1,FIND("街道",A873)-MAX(IFERROR(FIND({"省","市","区","县"},A873),0))-1+2)</f>
        <v>金山桥街道</v>
      </c>
      <c r="M873" s="4" t="str" cm="1">
        <f t="array" ref="M873">MID(A873,MAX(IFERROR(FIND({"省"},A873),0),IFERROR(FIND({"市"},A873),0),IFERROR(FIND({"区"},A873),0),IFERROR(FIND({"县"},A873),0))+1,FIND("街道",A873)-MAX(IFERROR(FIND({"省"},A873),0),IFERROR(FIND({"市"},A873),0),IFERROR(FIND({"区"},A873),0),IFERROR(FIND({"县"},A873),0))-1+2)</f>
        <v>金山桥街道</v>
      </c>
      <c r="O873" s="4" t="str" cm="1">
        <f t="array" ref="O873">_xlfn.LET(_xlpm.fullText,A873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73" s="4" t="str" cm="1">
        <f t="array" ref="Q873">_xlfn.LET(_xlpm.fullText,A873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74" ht="36" spans="1:17">
      <c r="A874" s="5" t="s">
        <v>345</v>
      </c>
      <c r="K874" s="4" t="str" cm="1">
        <f t="array" ref="K874">MID(A874,MAX(IFERROR(FIND({"省","市","区","县"},A874),0))+1,FIND("街道",A874)-MAX(IFERROR(FIND({"省","市","区","县"},A874),0))-1+2)</f>
        <v>火花街道</v>
      </c>
      <c r="M874" s="4" t="str" cm="1">
        <f t="array" ref="M874">MID(A874,MAX(IFERROR(FIND({"省"},A874),0),IFERROR(FIND({"市"},A874),0),IFERROR(FIND({"区"},A874),0),IFERROR(FIND({"县"},A874),0))+1,FIND("街道",A874)-MAX(IFERROR(FIND({"省"},A874),0),IFERROR(FIND({"市"},A874),0),IFERROR(FIND({"区"},A874),0),IFERROR(FIND({"县"},A874),0))-1+2)</f>
        <v>火花街道</v>
      </c>
      <c r="O874" s="4" t="str" cm="1">
        <f t="array" ref="O874">_xlfn.LET(_xlpm.fullText,A874,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74" s="4" t="str" cm="1">
        <f t="array" ref="Q874">_xlfn.LET(_xlpm.fullText,A874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75" ht="36" spans="1:17">
      <c r="A875" s="5" t="s">
        <v>346</v>
      </c>
      <c r="K875" s="4" t="str" cm="1">
        <f t="array" ref="K875">MID(A875,MAX(IFERROR(FIND({"省","市","区","县"},A875),0))+1,FIND("街道",A875)-MAX(IFERROR(FIND({"省","市","区","县"},A875),0))-1+2)</f>
        <v>金山桥街道</v>
      </c>
      <c r="M875" s="4" t="str" cm="1">
        <f t="array" ref="M875">MID(A875,MAX(IFERROR(FIND({"省"},A875),0),IFERROR(FIND({"市"},A875),0),IFERROR(FIND({"区"},A875),0),IFERROR(FIND({"县"},A875),0))+1,FIND("街道",A875)-MAX(IFERROR(FIND({"省"},A875),0),IFERROR(FIND({"市"},A875),0),IFERROR(FIND({"区"},A875),0),IFERROR(FIND({"县"},A875),0))-1+2)</f>
        <v>金山桥街道</v>
      </c>
      <c r="O875" s="4" t="str" cm="1">
        <f t="array" ref="O875">_xlfn.LET(_xlpm.fullText,A875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75" s="4" t="str" cm="1">
        <f t="array" ref="Q875">_xlfn.LET(_xlpm.fullText,A875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76" ht="24" spans="1:17">
      <c r="A876" s="5" t="s">
        <v>415</v>
      </c>
      <c r="K876" s="4" t="str" cm="1">
        <f t="array" ref="K876">MID(A876,MAX(IFERROR(FIND({"省","市","区","县"},A876),0))+1,FIND("街道",A876)-MAX(IFERROR(FIND({"省","市","区","县"},A876),0))-1+2)</f>
        <v>火花街道</v>
      </c>
      <c r="M876" s="4" t="str" cm="1">
        <f t="array" ref="M876">MID(A876,MAX(IFERROR(FIND({"省"},A876),0),IFERROR(FIND({"市"},A876),0),IFERROR(FIND({"区"},A876),0),IFERROR(FIND({"县"},A876),0))+1,FIND("街道",A876)-MAX(IFERROR(FIND({"省"},A876),0),IFERROR(FIND({"市"},A876),0),IFERROR(FIND({"区"},A876),0),IFERROR(FIND({"县"},A876),0))-1+2)</f>
        <v>火花街道</v>
      </c>
      <c r="O876" s="4" t="str" cm="1">
        <f t="array" ref="O876">_xlfn.LET(_xlpm.fullText,A876,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76" s="4" t="str" cm="1">
        <f t="array" ref="Q876">_xlfn.LET(_xlpm.fullText,A876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77" ht="36" spans="1:17">
      <c r="A877" s="5" t="s">
        <v>346</v>
      </c>
      <c r="K877" s="4" t="str" cm="1">
        <f t="array" ref="K877">MID(A877,MAX(IFERROR(FIND({"省","市","区","县"},A877),0))+1,FIND("街道",A877)-MAX(IFERROR(FIND({"省","市","区","县"},A877),0))-1+2)</f>
        <v>金山桥街道</v>
      </c>
      <c r="M877" s="4" t="str" cm="1">
        <f t="array" ref="M877">MID(A877,MAX(IFERROR(FIND({"省"},A877),0),IFERROR(FIND({"市"},A877),0),IFERROR(FIND({"区"},A877),0),IFERROR(FIND({"县"},A877),0))+1,FIND("街道",A877)-MAX(IFERROR(FIND({"省"},A877),0),IFERROR(FIND({"市"},A877),0),IFERROR(FIND({"区"},A877),0),IFERROR(FIND({"县"},A877),0))-1+2)</f>
        <v>金山桥街道</v>
      </c>
      <c r="O877" s="4" t="str" cm="1">
        <f t="array" ref="O877">_xlfn.LET(_xlpm.fullText,A877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77" s="4" t="str" cm="1">
        <f t="array" ref="Q877">_xlfn.LET(_xlpm.fullText,A877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78" ht="36" spans="1:17">
      <c r="A878" s="5" t="s">
        <v>345</v>
      </c>
      <c r="K878" s="4" t="str" cm="1">
        <f t="array" ref="K878">MID(A878,MAX(IFERROR(FIND({"省","市","区","县"},A878),0))+1,FIND("街道",A878)-MAX(IFERROR(FIND({"省","市","区","县"},A878),0))-1+2)</f>
        <v>火花街道</v>
      </c>
      <c r="M878" s="4" t="str" cm="1">
        <f t="array" ref="M878">MID(A878,MAX(IFERROR(FIND({"省"},A878),0),IFERROR(FIND({"市"},A878),0),IFERROR(FIND({"区"},A878),0),IFERROR(FIND({"县"},A878),0))+1,FIND("街道",A878)-MAX(IFERROR(FIND({"省"},A878),0),IFERROR(FIND({"市"},A878),0),IFERROR(FIND({"区"},A878),0),IFERROR(FIND({"县"},A878),0))-1+2)</f>
        <v>火花街道</v>
      </c>
      <c r="O878" s="4" t="str" cm="1">
        <f t="array" ref="O878">_xlfn.LET(_xlpm.fullText,A878,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78" s="4" t="str" cm="1">
        <f t="array" ref="Q878">_xlfn.LET(_xlpm.fullText,A878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79" ht="36" spans="1:17">
      <c r="A879" s="5" t="s">
        <v>346</v>
      </c>
      <c r="K879" s="4" t="str" cm="1">
        <f t="array" ref="K879">MID(A879,MAX(IFERROR(FIND({"省","市","区","县"},A879),0))+1,FIND("街道",A879)-MAX(IFERROR(FIND({"省","市","区","县"},A879),0))-1+2)</f>
        <v>金山桥街道</v>
      </c>
      <c r="M879" s="4" t="str" cm="1">
        <f t="array" ref="M879">MID(A879,MAX(IFERROR(FIND({"省"},A879),0),IFERROR(FIND({"市"},A879),0),IFERROR(FIND({"区"},A879),0),IFERROR(FIND({"县"},A879),0))+1,FIND("街道",A879)-MAX(IFERROR(FIND({"省"},A879),0),IFERROR(FIND({"市"},A879),0),IFERROR(FIND({"区"},A879),0),IFERROR(FIND({"县"},A879),0))-1+2)</f>
        <v>金山桥街道</v>
      </c>
      <c r="O879" s="4" t="str" cm="1">
        <f t="array" ref="O879">_xlfn.LET(_xlpm.fullText,A879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79" s="4" t="str" cm="1">
        <f t="array" ref="Q879">_xlfn.LET(_xlpm.fullText,A879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0" ht="28.8" spans="1:17">
      <c r="A880" s="5" t="s">
        <v>160</v>
      </c>
      <c r="K880" s="4" t="str" cm="1">
        <f t="array" ref="K880">MID(A880,MAX(IFERROR(FIND({"省","市","区","县"},A880),0))+1,FIND("街道",A880)-MAX(IFERROR(FIND({"省","市","区","县"},A880),0))-1+2)</f>
        <v>金山桥街道</v>
      </c>
      <c r="M880" s="4" t="str" cm="1">
        <f t="array" ref="M880">MID(A880,MAX(IFERROR(FIND({"省"},A880),0),IFERROR(FIND({"市"},A880),0),IFERROR(FIND({"区"},A880),0),IFERROR(FIND({"县"},A880),0))+1,FIND("街道",A880)-MAX(IFERROR(FIND({"省"},A880),0),IFERROR(FIND({"市"},A880),0),IFERROR(FIND({"区"},A880),0),IFERROR(FIND({"县"},A880),0))-1+2)</f>
        <v>金山桥街道</v>
      </c>
      <c r="O880" s="4" t="str" cm="1">
        <f t="array" ref="O880">_xlfn.LET(_xlpm.fullText,A880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80" s="4" t="str" cm="1">
        <f t="array" ref="Q880">_xlfn.LET(_xlpm.fullText,A880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1" ht="36" spans="1:17">
      <c r="A881" s="5" t="s">
        <v>346</v>
      </c>
      <c r="K881" s="4" t="str" cm="1">
        <f t="array" ref="K881">MID(A881,MAX(IFERROR(FIND({"省","市","区","县"},A881),0))+1,FIND("街道",A881)-MAX(IFERROR(FIND({"省","市","区","县"},A881),0))-1+2)</f>
        <v>金山桥街道</v>
      </c>
      <c r="M881" s="4" t="str" cm="1">
        <f t="array" ref="M881">MID(A881,MAX(IFERROR(FIND({"省"},A881),0),IFERROR(FIND({"市"},A881),0),IFERROR(FIND({"区"},A881),0),IFERROR(FIND({"县"},A881),0))+1,FIND("街道",A881)-MAX(IFERROR(FIND({"省"},A881),0),IFERROR(FIND({"市"},A881),0),IFERROR(FIND({"区"},A881),0),IFERROR(FIND({"县"},A881),0))-1+2)</f>
        <v>金山桥街道</v>
      </c>
      <c r="O881" s="4" t="str" cm="1">
        <f t="array" ref="O881">_xlfn.LET(_xlpm.fullText,A881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81" s="4" t="str" cm="1">
        <f t="array" ref="Q881">_xlfn.LET(_xlpm.fullText,A881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2" ht="36" spans="1:17">
      <c r="A882" s="5" t="s">
        <v>346</v>
      </c>
      <c r="K882" s="4" t="str" cm="1">
        <f t="array" ref="K882">MID(A882,MAX(IFERROR(FIND({"省","市","区","县"},A882),0))+1,FIND("街道",A882)-MAX(IFERROR(FIND({"省","市","区","县"},A882),0))-1+2)</f>
        <v>金山桥街道</v>
      </c>
      <c r="M882" s="4" t="str" cm="1">
        <f t="array" ref="M882">MID(A882,MAX(IFERROR(FIND({"省"},A882),0),IFERROR(FIND({"市"},A882),0),IFERROR(FIND({"区"},A882),0),IFERROR(FIND({"县"},A882),0))+1,FIND("街道",A882)-MAX(IFERROR(FIND({"省"},A882),0),IFERROR(FIND({"市"},A882),0),IFERROR(FIND({"区"},A882),0),IFERROR(FIND({"县"},A882),0))-1+2)</f>
        <v>金山桥街道</v>
      </c>
      <c r="O882" s="4" t="str" cm="1">
        <f t="array" ref="O882">_xlfn.LET(_xlpm.fullText,A882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82" s="4" t="str" cm="1">
        <f t="array" ref="Q882">_xlfn.LET(_xlpm.fullText,A882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3" ht="36" spans="1:17">
      <c r="A883" s="5" t="s">
        <v>346</v>
      </c>
      <c r="K883" s="4" t="str" cm="1">
        <f t="array" ref="K883">MID(A883,MAX(IFERROR(FIND({"省","市","区","县"},A883),0))+1,FIND("街道",A883)-MAX(IFERROR(FIND({"省","市","区","县"},A883),0))-1+2)</f>
        <v>金山桥街道</v>
      </c>
      <c r="M883" s="4" t="str" cm="1">
        <f t="array" ref="M883">MID(A883,MAX(IFERROR(FIND({"省"},A883),0),IFERROR(FIND({"市"},A883),0),IFERROR(FIND({"区"},A883),0),IFERROR(FIND({"县"},A883),0))+1,FIND("街道",A883)-MAX(IFERROR(FIND({"省"},A883),0),IFERROR(FIND({"市"},A883),0),IFERROR(FIND({"区"},A883),0),IFERROR(FIND({"县"},A883),0))-1+2)</f>
        <v>金山桥街道</v>
      </c>
      <c r="O883" s="4" t="str" cm="1">
        <f t="array" ref="O883">_xlfn.LET(_xlpm.fullText,A883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83" s="4" t="str" cm="1">
        <f t="array" ref="Q883">_xlfn.LET(_xlpm.fullText,A883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4" ht="48" spans="1:17">
      <c r="A884" s="5" t="s">
        <v>416</v>
      </c>
      <c r="K884" s="4" t="str" cm="1">
        <f t="array" ref="K884">MID(A884,MAX(IFERROR(FIND({"省","市","区","县"},A884),0))+1,FIND("街道",A884)-MAX(IFERROR(FIND({"省","市","区","县"},A884),0))-1+2)</f>
        <v>江陵街道</v>
      </c>
      <c r="M884" s="4" t="str" cm="1">
        <f t="array" ref="M884">MID(A884,MAX(IFERROR(FIND({"省"},A884),0),IFERROR(FIND({"市"},A884),0),IFERROR(FIND({"区"},A884),0),IFERROR(FIND({"县"},A884),0))+1,FIND("街道",A884)-MAX(IFERROR(FIND({"省"},A884),0),IFERROR(FIND({"市"},A884),0),IFERROR(FIND({"区"},A884),0),IFERROR(FIND({"县"},A884),0))-1+2)</f>
        <v>江陵街道</v>
      </c>
      <c r="O884" s="4" t="str" cm="1">
        <f t="array" ref="O884">_xlfn.LET(_xlpm.fullText,A884,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884" s="4" t="str" cm="1">
        <f t="array" ref="Q884">_xlfn.LET(_xlpm.fullText,A884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885" ht="36" spans="1:17">
      <c r="A885" s="5" t="s">
        <v>417</v>
      </c>
      <c r="K885" s="4" t="str" cm="1">
        <f t="array" ref="K885">MID(A885,MAX(IFERROR(FIND({"省","市","区","县"},A885),0))+1,FIND("街道",A885)-MAX(IFERROR(FIND({"省","市","区","县"},A885),0))-1+2)</f>
        <v>三八街道</v>
      </c>
      <c r="M885" s="4" t="str" cm="1">
        <f t="array" ref="M885">MID(A885,MAX(IFERROR(FIND({"省"},A885),0),IFERROR(FIND({"市"},A885),0),IFERROR(FIND({"区"},A885),0),IFERROR(FIND({"县"},A885),0))+1,FIND("街道",A885)-MAX(IFERROR(FIND({"省"},A885),0),IFERROR(FIND({"市"},A885),0),IFERROR(FIND({"区"},A885),0),IFERROR(FIND({"县"},A885),0))-1+2)</f>
        <v>三八街道</v>
      </c>
      <c r="O885" s="4" t="str" cm="1">
        <f t="array" ref="O885">_xlfn.LET(_xlpm.fullText,A885,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885" s="4" t="str" cm="1">
        <f t="array" ref="Q885">_xlfn.LET(_xlpm.fullText,A885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886" ht="36" spans="1:17">
      <c r="A886" s="5" t="s">
        <v>345</v>
      </c>
      <c r="K886" s="4" t="str" cm="1">
        <f t="array" ref="K886">MID(A886,MAX(IFERROR(FIND({"省","市","区","县"},A886),0))+1,FIND("街道",A886)-MAX(IFERROR(FIND({"省","市","区","县"},A886),0))-1+2)</f>
        <v>火花街道</v>
      </c>
      <c r="M886" s="4" t="str" cm="1">
        <f t="array" ref="M886">MID(A886,MAX(IFERROR(FIND({"省"},A886),0),IFERROR(FIND({"市"},A886),0),IFERROR(FIND({"区"},A886),0),IFERROR(FIND({"县"},A886),0))+1,FIND("街道",A886)-MAX(IFERROR(FIND({"省"},A886),0),IFERROR(FIND({"市"},A886),0),IFERROR(FIND({"区"},A886),0),IFERROR(FIND({"县"},A886),0))-1+2)</f>
        <v>火花街道</v>
      </c>
      <c r="O886" s="4" t="str" cm="1">
        <f t="array" ref="O886">_xlfn.LET(_xlpm.fullText,A886,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86" s="4" t="str" cm="1">
        <f t="array" ref="Q886">_xlfn.LET(_xlpm.fullText,A886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87" ht="36" spans="1:17">
      <c r="A887" s="5" t="s">
        <v>418</v>
      </c>
      <c r="K887" s="4" t="str" cm="1">
        <f t="array" ref="K887">MID(A887,MAX(IFERROR(FIND({"省","市","区","县"},A887),0))+1,FIND("街道",A887)-MAX(IFERROR(FIND({"省","市","区","县"},A887),0))-1+2)</f>
        <v>金山桥街道</v>
      </c>
      <c r="M887" s="4" t="str" cm="1">
        <f t="array" ref="M887">MID(A887,MAX(IFERROR(FIND({"省"},A887),0),IFERROR(FIND({"市"},A887),0),IFERROR(FIND({"区"},A887),0),IFERROR(FIND({"县"},A887),0))+1,FIND("街道",A887)-MAX(IFERROR(FIND({"省"},A887),0),IFERROR(FIND({"市"},A887),0),IFERROR(FIND({"区"},A887),0),IFERROR(FIND({"县"},A887),0))-1+2)</f>
        <v>金山桥街道</v>
      </c>
      <c r="O887" s="4" t="str" cm="1">
        <f t="array" ref="O887">_xlfn.LET(_xlpm.fullText,A887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87" s="4" t="str" cm="1">
        <f t="array" ref="Q887">_xlfn.LET(_xlpm.fullText,A887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8" ht="36" spans="1:17">
      <c r="A888" s="5" t="s">
        <v>419</v>
      </c>
      <c r="K888" s="4" t="str" cm="1">
        <f t="array" ref="K888">MID(A888,MAX(IFERROR(FIND({"省","市","区","县"},A888),0))+1,FIND("街道",A888)-MAX(IFERROR(FIND({"省","市","区","县"},A888),0))-1+2)</f>
        <v>金山桥街道</v>
      </c>
      <c r="M888" s="4" t="str" cm="1">
        <f t="array" ref="M888">MID(A888,MAX(IFERROR(FIND({"省"},A888),0),IFERROR(FIND({"市"},A888),0),IFERROR(FIND({"区"},A888),0),IFERROR(FIND({"县"},A888),0))+1,FIND("街道",A888)-MAX(IFERROR(FIND({"省"},A888),0),IFERROR(FIND({"市"},A888),0),IFERROR(FIND({"区"},A888),0),IFERROR(FIND({"县"},A888),0))-1+2)</f>
        <v>金山桥街道</v>
      </c>
      <c r="O888" s="4" t="str" cm="1">
        <f t="array" ref="O888">_xlfn.LET(_xlpm.fullText,A888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88" s="4" t="str" cm="1">
        <f t="array" ref="Q888">_xlfn.LET(_xlpm.fullText,A888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89" ht="36" spans="1:17">
      <c r="A889" s="5" t="s">
        <v>420</v>
      </c>
      <c r="K889" s="4" t="str" cm="1">
        <f t="array" ref="K889">MID(A889,MAX(IFERROR(FIND({"省","市","区","县"},A889),0))+1,FIND("街道",A889)-MAX(IFERROR(FIND({"省","市","区","县"},A889),0))-1+2)</f>
        <v>徐杨街道</v>
      </c>
      <c r="M889" s="4" t="str" cm="1">
        <f t="array" ref="M889">MID(A889,MAX(IFERROR(FIND({"省"},A889),0),IFERROR(FIND({"市"},A889),0),IFERROR(FIND({"区"},A889),0),IFERROR(FIND({"县"},A889),0))+1,FIND("街道",A889)-MAX(IFERROR(FIND({"省"},A889),0),IFERROR(FIND({"市"},A889),0),IFERROR(FIND({"区"},A889),0),IFERROR(FIND({"县"},A889),0))-1+2)</f>
        <v>徐杨街道</v>
      </c>
      <c r="O889" s="4" t="str" cm="1">
        <f t="array" ref="O889">_xlfn.LET(_xlpm.fullText,A889,_xlpm.streetPos,FIND("街道",_xlpm.fullText)+2,_xlpm.prefixText,LEFT(_xlpm.fullText,_xlpm.streetPos-1),_xlpm.adminPos,MAX(IFERROR(FIND({"省","市","区","县"},_xlpm.prefixText),0)),IF(_xlpm.adminPos&gt;0,MID(_xlpm.prefixText,_xlpm.adminPos+1,_xlpm.streetPos-_xlpm.adminPos-3+2),LEFT(_xlpm.prefixText,FIND("街道",_xlpm.prefixText)-1+2)))</f>
        <v>徐杨街道</v>
      </c>
      <c r="Q889" s="4" t="str" cm="1">
        <f t="array" ref="Q889">_xlfn.LET(_xlpm.fullText,A889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徐杨街道</v>
      </c>
    </row>
    <row r="890" ht="28.8" spans="1:17">
      <c r="A890" s="5" t="s">
        <v>421</v>
      </c>
      <c r="K890" s="4" t="str" cm="1">
        <f t="array" ref="K890">MID(A890,MAX(IFERROR(FIND({"省","市","区","县"},A890),0))+1,FIND("街道",A890)-MAX(IFERROR(FIND({"省","市","区","县"},A890),0))-1+2)</f>
        <v>南马厂街道</v>
      </c>
      <c r="M890" s="4" t="str" cm="1">
        <f t="array" ref="M890">MID(A890,MAX(IFERROR(FIND({"省"},A890),0),IFERROR(FIND({"市"},A890),0),IFERROR(FIND({"区"},A890),0),IFERROR(FIND({"县"},A890),0))+1,FIND("街道",A890)-MAX(IFERROR(FIND({"省"},A890),0),IFERROR(FIND({"市"},A890),0),IFERROR(FIND({"区"},A890),0),IFERROR(FIND({"县"},A890),0))-1+2)</f>
        <v>南马厂街道</v>
      </c>
      <c r="O890" s="4" t="str" cm="1">
        <f t="array" ref="O890">_xlfn.LET(_xlpm.fullText,A890,_xlpm.streetPos,FIND("街道",_xlpm.fullText)+2,_xlpm.prefixText,LEFT(_xlpm.fullText,_xlpm.streetPos-1),_xlpm.adminPos,MAX(IFERROR(FIND({"省","市","区","县"},_xlpm.prefixText),0)),IF(_xlpm.adminPos&gt;0,MID(_xlpm.prefixText,_xlpm.adminPos+1,_xlpm.streetPos-_xlpm.adminPos-3+2),LEFT(_xlpm.prefixText,FIND("街道",_xlpm.prefixText)-1+2)))</f>
        <v>南马厂街道</v>
      </c>
      <c r="Q890" s="4" t="str" cm="1">
        <f t="array" ref="Q890">_xlfn.LET(_xlpm.fullText,A890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南马厂街道</v>
      </c>
    </row>
    <row r="891" ht="36" spans="1:17">
      <c r="A891" s="5" t="s">
        <v>419</v>
      </c>
      <c r="K891" s="4" t="str" cm="1">
        <f t="array" ref="K891">MID(A891,MAX(IFERROR(FIND({"省","市","区","县"},A891),0))+1,FIND("街道",A891)-MAX(IFERROR(FIND({"省","市","区","县"},A891),0))-1+2)</f>
        <v>金山桥街道</v>
      </c>
      <c r="M891" s="4" t="str" cm="1">
        <f t="array" ref="M891">MID(A891,MAX(IFERROR(FIND({"省"},A891),0),IFERROR(FIND({"市"},A891),0),IFERROR(FIND({"区"},A891),0),IFERROR(FIND({"县"},A891),0))+1,FIND("街道",A891)-MAX(IFERROR(FIND({"省"},A891),0),IFERROR(FIND({"市"},A891),0),IFERROR(FIND({"区"},A891),0),IFERROR(FIND({"县"},A891),0))-1+2)</f>
        <v>金山桥街道</v>
      </c>
      <c r="O891" s="4" t="str" cm="1">
        <f t="array" ref="O891">_xlfn.LET(_xlpm.fullText,A891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91" s="4" t="str" cm="1">
        <f t="array" ref="Q891">_xlfn.LET(_xlpm.fullText,A891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92" ht="36" spans="1:17">
      <c r="A892" s="5" t="s">
        <v>422</v>
      </c>
      <c r="K892" s="4" t="str" cm="1">
        <f t="array" ref="K892">MID(A892,MAX(IFERROR(FIND({"省","市","区","县"},A892),0))+1,FIND("街道",A892)-MAX(IFERROR(FIND({"省","市","区","县"},A892),0))-1+2)</f>
        <v>金山桥街道</v>
      </c>
      <c r="M892" s="4" t="str" cm="1">
        <f t="array" ref="M892">MID(A892,MAX(IFERROR(FIND({"省"},A892),0),IFERROR(FIND({"市"},A892),0),IFERROR(FIND({"区"},A892),0),IFERROR(FIND({"县"},A892),0))+1,FIND("街道",A892)-MAX(IFERROR(FIND({"省"},A892),0),IFERROR(FIND({"市"},A892),0),IFERROR(FIND({"区"},A892),0),IFERROR(FIND({"县"},A892),0))-1+2)</f>
        <v>金山桥街道</v>
      </c>
      <c r="O892" s="4" t="str" cm="1">
        <f t="array" ref="O892">_xlfn.LET(_xlpm.fullText,A892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92" s="4" t="str" cm="1">
        <f t="array" ref="Q892">_xlfn.LET(_xlpm.fullText,A892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93" ht="36" spans="1:17">
      <c r="A893" s="5" t="s">
        <v>423</v>
      </c>
      <c r="K893" s="4" t="str" cm="1">
        <f t="array" ref="K893">MID(A893,MAX(IFERROR(FIND({"省","市","区","县"},A893),0))+1,FIND("街道",A893)-MAX(IFERROR(FIND({"省","市","区","县"},A893),0))-1+2)</f>
        <v>金山桥街道</v>
      </c>
      <c r="M893" s="4" t="str" cm="1">
        <f t="array" ref="M893">MID(A893,MAX(IFERROR(FIND({"省"},A893),0),IFERROR(FIND({"市"},A893),0),IFERROR(FIND({"区"},A893),0),IFERROR(FIND({"县"},A893),0))+1,FIND("街道",A893)-MAX(IFERROR(FIND({"省"},A893),0),IFERROR(FIND({"市"},A893),0),IFERROR(FIND({"区"},A893),0),IFERROR(FIND({"县"},A893),0))-1+2)</f>
        <v>金山桥街道</v>
      </c>
      <c r="O893" s="4" t="str" cm="1">
        <f t="array" ref="O893">_xlfn.LET(_xlpm.fullText,A893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93" s="4" t="str" cm="1">
        <f t="array" ref="Q893">_xlfn.LET(_xlpm.fullText,A893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894" ht="36" spans="1:17">
      <c r="A894" s="5" t="s">
        <v>86</v>
      </c>
      <c r="K894" s="4" t="str" cm="1">
        <f t="array" ref="K894">MID(A894,MAX(IFERROR(FIND({"省","市","区","县"},A894),0))+1,FIND("街道",A894)-MAX(IFERROR(FIND({"省","市","区","县"},A894),0))-1+2)</f>
        <v>湖里街道</v>
      </c>
      <c r="M894" s="4" t="str" cm="1">
        <f t="array" ref="M894">MID(A894,MAX(IFERROR(FIND({"省"},A894),0),IFERROR(FIND({"市"},A894),0),IFERROR(FIND({"区"},A894),0),IFERROR(FIND({"县"},A894),0))+1,FIND("街道",A894)-MAX(IFERROR(FIND({"省"},A894),0),IFERROR(FIND({"市"},A894),0),IFERROR(FIND({"区"},A894),0),IFERROR(FIND({"县"},A894),0))-1+2)</f>
        <v>湖里街道</v>
      </c>
      <c r="O894" s="4" t="str" cm="1">
        <f t="array" ref="O894">_xlfn.LET(_xlpm.fullText,A894,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894" s="4" t="str" cm="1">
        <f t="array" ref="Q894">_xlfn.LET(_xlpm.fullText,A894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895" ht="36" spans="1:17">
      <c r="A895" s="5" t="s">
        <v>424</v>
      </c>
      <c r="K895" s="4" t="str" cm="1">
        <f t="array" ref="K895">MID(A895,MAX(IFERROR(FIND({"省","市","区","县"},A895),0))+1,FIND("街道",A895)-MAX(IFERROR(FIND({"省","市","区","县"},A895),0))-1+2)</f>
        <v>三八街道</v>
      </c>
      <c r="M895" s="4" t="str" cm="1">
        <f t="array" ref="M895">MID(A895,MAX(IFERROR(FIND({"省"},A895),0),IFERROR(FIND({"市"},A895),0),IFERROR(FIND({"区"},A895),0),IFERROR(FIND({"县"},A895),0))+1,FIND("街道",A895)-MAX(IFERROR(FIND({"省"},A895),0),IFERROR(FIND({"市"},A895),0),IFERROR(FIND({"区"},A895),0),IFERROR(FIND({"县"},A895),0))-1+2)</f>
        <v>三八街道</v>
      </c>
      <c r="O895" s="4" t="str" cm="1">
        <f t="array" ref="O895">_xlfn.LET(_xlpm.fullText,A895,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895" s="4" t="str" cm="1">
        <f t="array" ref="Q895">_xlfn.LET(_xlpm.fullText,A895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896" ht="48" spans="1:17">
      <c r="A896" s="5" t="s">
        <v>425</v>
      </c>
      <c r="K896" s="4" t="str" cm="1">
        <f t="array" ref="K896">MID(A896,MAX(IFERROR(FIND({"省","市","区","县"},A896),0))+1,FIND("街道",A896)-MAX(IFERROR(FIND({"省","市","区","县"},A896),0))-1+2)</f>
        <v>三八街道</v>
      </c>
      <c r="M896" s="4" t="str" cm="1">
        <f t="array" ref="M896">MID(A896,MAX(IFERROR(FIND({"省"},A896),0),IFERROR(FIND({"市"},A896),0),IFERROR(FIND({"区"},A896),0),IFERROR(FIND({"县"},A896),0))+1,FIND("街道",A896)-MAX(IFERROR(FIND({"省"},A896),0),IFERROR(FIND({"市"},A896),0),IFERROR(FIND({"区"},A896),0),IFERROR(FIND({"县"},A896),0))-1+2)</f>
        <v>三八街道</v>
      </c>
      <c r="O896" s="4" t="str" cm="1">
        <f t="array" ref="O896">_xlfn.LET(_xlpm.fullText,A896,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896" s="4" t="str" cm="1">
        <f t="array" ref="Q896">_xlfn.LET(_xlpm.fullText,A896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897" ht="36" spans="1:17">
      <c r="A897" s="5" t="s">
        <v>345</v>
      </c>
      <c r="K897" s="4" t="str" cm="1">
        <f t="array" ref="K897">MID(A897,MAX(IFERROR(FIND({"省","市","区","县"},A897),0))+1,FIND("街道",A897)-MAX(IFERROR(FIND({"省","市","区","县"},A897),0))-1+2)</f>
        <v>火花街道</v>
      </c>
      <c r="M897" s="4" t="str" cm="1">
        <f t="array" ref="M897">MID(A897,MAX(IFERROR(FIND({"省"},A897),0),IFERROR(FIND({"市"},A897),0),IFERROR(FIND({"区"},A897),0),IFERROR(FIND({"县"},A897),0))+1,FIND("街道",A897)-MAX(IFERROR(FIND({"省"},A897),0),IFERROR(FIND({"市"},A897),0),IFERROR(FIND({"区"},A897),0),IFERROR(FIND({"县"},A897),0))-1+2)</f>
        <v>火花街道</v>
      </c>
      <c r="O897" s="4" t="str" cm="1">
        <f t="array" ref="O897">_xlfn.LET(_xlpm.fullText,A897,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97" s="4" t="str" cm="1">
        <f t="array" ref="Q897">_xlfn.LET(_xlpm.fullText,A897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98" ht="48" spans="1:17">
      <c r="A898" s="5" t="s">
        <v>426</v>
      </c>
      <c r="K898" s="4" t="str" cm="1">
        <f t="array" ref="K898">MID(A898,MAX(IFERROR(FIND({"省","市","区","县"},A898),0))+1,FIND("街道",A898)-MAX(IFERROR(FIND({"省","市","区","县"},A898),0))-1+2)</f>
        <v>火花街道</v>
      </c>
      <c r="M898" s="4" t="str" cm="1">
        <f t="array" ref="M898">MID(A898,MAX(IFERROR(FIND({"省"},A898),0),IFERROR(FIND({"市"},A898),0),IFERROR(FIND({"区"},A898),0),IFERROR(FIND({"县"},A898),0))+1,FIND("街道",A898)-MAX(IFERROR(FIND({"省"},A898),0),IFERROR(FIND({"市"},A898),0),IFERROR(FIND({"区"},A898),0),IFERROR(FIND({"县"},A898),0))-1+2)</f>
        <v>火花街道</v>
      </c>
      <c r="O898" s="4" t="str" cm="1">
        <f t="array" ref="O898">_xlfn.LET(_xlpm.fullText,A898,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898" s="4" t="str" cm="1">
        <f t="array" ref="Q898">_xlfn.LET(_xlpm.fullText,A898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899" ht="36" spans="1:17">
      <c r="A899" s="5" t="s">
        <v>419</v>
      </c>
      <c r="K899" s="4" t="str" cm="1">
        <f t="array" ref="K899">MID(A899,MAX(IFERROR(FIND({"省","市","区","县"},A899),0))+1,FIND("街道",A899)-MAX(IFERROR(FIND({"省","市","区","县"},A899),0))-1+2)</f>
        <v>金山桥街道</v>
      </c>
      <c r="M899" s="4" t="str" cm="1">
        <f t="array" ref="M899">MID(A899,MAX(IFERROR(FIND({"省"},A899),0),IFERROR(FIND({"市"},A899),0),IFERROR(FIND({"区"},A899),0),IFERROR(FIND({"县"},A899),0))+1,FIND("街道",A899)-MAX(IFERROR(FIND({"省"},A899),0),IFERROR(FIND({"市"},A899),0),IFERROR(FIND({"区"},A899),0),IFERROR(FIND({"县"},A899),0))-1+2)</f>
        <v>金山桥街道</v>
      </c>
      <c r="O899" s="4" t="str" cm="1">
        <f t="array" ref="O899">_xlfn.LET(_xlpm.fullText,A899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899" s="4" t="str" cm="1">
        <f t="array" ref="Q899">_xlfn.LET(_xlpm.fullText,A899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0" ht="24" spans="1:17">
      <c r="A900" s="5" t="s">
        <v>427</v>
      </c>
      <c r="K900" s="4" t="str" cm="1">
        <f t="array" ref="K900">MID(A900,MAX(IFERROR(FIND({"省","市","区","县"},A900),0))+1,FIND("街道",A900)-MAX(IFERROR(FIND({"省","市","区","县"},A900),0))-1+2)</f>
        <v>睢河街道</v>
      </c>
      <c r="M900" s="4" t="str" cm="1">
        <f t="array" ref="M900">MID(A900,MAX(IFERROR(FIND({"省"},A900),0),IFERROR(FIND({"市"},A900),0),IFERROR(FIND({"区"},A900),0),IFERROR(FIND({"县"},A900),0))+1,FIND("街道",A900)-MAX(IFERROR(FIND({"省"},A900),0),IFERROR(FIND({"市"},A900),0),IFERROR(FIND({"区"},A900),0),IFERROR(FIND({"县"},A900),0))-1+2)</f>
        <v>睢河街道</v>
      </c>
      <c r="O900" s="4" t="str" cm="1">
        <f t="array" ref="O900">_xlfn.LET(_xlpm.fullText,A900,_xlpm.streetPos,FIND("街道",_xlpm.fullText)+2,_xlpm.prefixText,LEFT(_xlpm.fullText,_xlpm.streetPos-1),_xlpm.adminPos,MAX(IFERROR(FIND({"省","市","区","县"},_xlpm.prefixText),0)),IF(_xlpm.adminPos&gt;0,MID(_xlpm.prefixText,_xlpm.adminPos+1,_xlpm.streetPos-_xlpm.adminPos-3+2),LEFT(_xlpm.prefixText,FIND("街道",_xlpm.prefixText)-1+2)))</f>
        <v>睢河街道</v>
      </c>
      <c r="Q900" s="4" t="str" cm="1">
        <f t="array" ref="Q900">_xlfn.LET(_xlpm.fullText,A900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睢河街道</v>
      </c>
    </row>
    <row r="901" ht="36" spans="1:17">
      <c r="A901" s="5" t="s">
        <v>419</v>
      </c>
      <c r="K901" s="4" t="str" cm="1">
        <f t="array" ref="K901">MID(A901,MAX(IFERROR(FIND({"省","市","区","县"},A901),0))+1,FIND("街道",A901)-MAX(IFERROR(FIND({"省","市","区","县"},A901),0))-1+2)</f>
        <v>金山桥街道</v>
      </c>
      <c r="M901" s="4" t="str" cm="1">
        <f t="array" ref="M901">MID(A901,MAX(IFERROR(FIND({"省"},A901),0),IFERROR(FIND({"市"},A901),0),IFERROR(FIND({"区"},A901),0),IFERROR(FIND({"县"},A901),0))+1,FIND("街道",A901)-MAX(IFERROR(FIND({"省"},A901),0),IFERROR(FIND({"市"},A901),0),IFERROR(FIND({"区"},A901),0),IFERROR(FIND({"县"},A901),0))-1+2)</f>
        <v>金山桥街道</v>
      </c>
      <c r="O901" s="4" t="str" cm="1">
        <f t="array" ref="O901">_xlfn.LET(_xlpm.fullText,A901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1" s="4" t="str" cm="1">
        <f t="array" ref="Q901">_xlfn.LET(_xlpm.fullText,A901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2" ht="36" spans="1:17">
      <c r="A902" s="5" t="s">
        <v>419</v>
      </c>
      <c r="K902" s="4" t="str" cm="1">
        <f t="array" ref="K902">MID(A902,MAX(IFERROR(FIND({"省","市","区","县"},A902),0))+1,FIND("街道",A902)-MAX(IFERROR(FIND({"省","市","区","县"},A902),0))-1+2)</f>
        <v>金山桥街道</v>
      </c>
      <c r="M902" s="4" t="str" cm="1">
        <f t="array" ref="M902">MID(A902,MAX(IFERROR(FIND({"省"},A902),0),IFERROR(FIND({"市"},A902),0),IFERROR(FIND({"区"},A902),0),IFERROR(FIND({"县"},A902),0))+1,FIND("街道",A902)-MAX(IFERROR(FIND({"省"},A902),0),IFERROR(FIND({"市"},A902),0),IFERROR(FIND({"区"},A902),0),IFERROR(FIND({"县"},A902),0))-1+2)</f>
        <v>金山桥街道</v>
      </c>
      <c r="O902" s="4" t="str" cm="1">
        <f t="array" ref="O902">_xlfn.LET(_xlpm.fullText,A902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2" s="4" t="str" cm="1">
        <f t="array" ref="Q902">_xlfn.LET(_xlpm.fullText,A902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3" ht="36" spans="1:17">
      <c r="A903" s="5" t="s">
        <v>419</v>
      </c>
      <c r="K903" s="4" t="str" cm="1">
        <f t="array" ref="K903">MID(A903,MAX(IFERROR(FIND({"省","市","区","县"},A903),0))+1,FIND("街道",A903)-MAX(IFERROR(FIND({"省","市","区","县"},A903),0))-1+2)</f>
        <v>金山桥街道</v>
      </c>
      <c r="M903" s="4" t="str" cm="1">
        <f t="array" ref="M903">MID(A903,MAX(IFERROR(FIND({"省"},A903),0),IFERROR(FIND({"市"},A903),0),IFERROR(FIND({"区"},A903),0),IFERROR(FIND({"县"},A903),0))+1,FIND("街道",A903)-MAX(IFERROR(FIND({"省"},A903),0),IFERROR(FIND({"市"},A903),0),IFERROR(FIND({"区"},A903),0),IFERROR(FIND({"县"},A903),0))-1+2)</f>
        <v>金山桥街道</v>
      </c>
      <c r="O903" s="4" t="str" cm="1">
        <f t="array" ref="O903">_xlfn.LET(_xlpm.fullText,A903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3" s="4" t="str" cm="1">
        <f t="array" ref="Q903">_xlfn.LET(_xlpm.fullText,A903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4" ht="36" spans="1:17">
      <c r="A904" s="5" t="s">
        <v>419</v>
      </c>
      <c r="K904" s="4" t="str" cm="1">
        <f t="array" ref="K904">MID(A904,MAX(IFERROR(FIND({"省","市","区","县"},A904),0))+1,FIND("街道",A904)-MAX(IFERROR(FIND({"省","市","区","县"},A904),0))-1+2)</f>
        <v>金山桥街道</v>
      </c>
      <c r="M904" s="4" t="str" cm="1">
        <f t="array" ref="M904">MID(A904,MAX(IFERROR(FIND({"省"},A904),0),IFERROR(FIND({"市"},A904),0),IFERROR(FIND({"区"},A904),0),IFERROR(FIND({"县"},A904),0))+1,FIND("街道",A904)-MAX(IFERROR(FIND({"省"},A904),0),IFERROR(FIND({"市"},A904),0),IFERROR(FIND({"区"},A904),0),IFERROR(FIND({"县"},A904),0))-1+2)</f>
        <v>金山桥街道</v>
      </c>
      <c r="O904" s="4" t="str" cm="1">
        <f t="array" ref="O904">_xlfn.LET(_xlpm.fullText,A904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4" s="4" t="str" cm="1">
        <f t="array" ref="Q904">_xlfn.LET(_xlpm.fullText,A904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5" ht="36" spans="1:17">
      <c r="A905" s="5" t="s">
        <v>419</v>
      </c>
      <c r="K905" s="4" t="str" cm="1">
        <f t="array" ref="K905">MID(A905,MAX(IFERROR(FIND({"省","市","区","县"},A905),0))+1,FIND("街道",A905)-MAX(IFERROR(FIND({"省","市","区","县"},A905),0))-1+2)</f>
        <v>金山桥街道</v>
      </c>
      <c r="M905" s="4" t="str" cm="1">
        <f t="array" ref="M905">MID(A905,MAX(IFERROR(FIND({"省"},A905),0),IFERROR(FIND({"市"},A905),0),IFERROR(FIND({"区"},A905),0),IFERROR(FIND({"县"},A905),0))+1,FIND("街道",A905)-MAX(IFERROR(FIND({"省"},A905),0),IFERROR(FIND({"市"},A905),0),IFERROR(FIND({"区"},A905),0),IFERROR(FIND({"县"},A905),0))-1+2)</f>
        <v>金山桥街道</v>
      </c>
      <c r="O905" s="4" t="str" cm="1">
        <f t="array" ref="O905">_xlfn.LET(_xlpm.fullText,A905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5" s="4" t="str" cm="1">
        <f t="array" ref="Q905">_xlfn.LET(_xlpm.fullText,A905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6" ht="36" spans="1:17">
      <c r="A906" s="5" t="s">
        <v>428</v>
      </c>
      <c r="K906" s="4" t="str" cm="1">
        <f t="array" ref="K906">MID(A906,MAX(IFERROR(FIND({"省","市","区","县"},A906),0))+1,FIND("街道",A906)-MAX(IFERROR(FIND({"省","市","区","县"},A906),0))-1+2)</f>
        <v>金山桥街道</v>
      </c>
      <c r="M906" s="4" t="str" cm="1">
        <f t="array" ref="M906">MID(A906,MAX(IFERROR(FIND({"省"},A906),0),IFERROR(FIND({"市"},A906),0),IFERROR(FIND({"区"},A906),0),IFERROR(FIND({"县"},A906),0))+1,FIND("街道",A906)-MAX(IFERROR(FIND({"省"},A906),0),IFERROR(FIND({"市"},A906),0),IFERROR(FIND({"区"},A906),0),IFERROR(FIND({"县"},A906),0))-1+2)</f>
        <v>金山桥街道</v>
      </c>
      <c r="O906" s="4" t="str" cm="1">
        <f t="array" ref="O906">_xlfn.LET(_xlpm.fullText,A906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6" s="4" t="str" cm="1">
        <f t="array" ref="Q906">_xlfn.LET(_xlpm.fullText,A906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7" ht="36" spans="1:17">
      <c r="A907" s="5" t="s">
        <v>429</v>
      </c>
      <c r="K907" s="4" t="str" cm="1">
        <f t="array" ref="K907">MID(A907,MAX(IFERROR(FIND({"省","市","区","县"},A907),0))+1,FIND("街道",A907)-MAX(IFERROR(FIND({"省","市","区","县"},A907),0))-1+2)</f>
        <v>三八街道</v>
      </c>
      <c r="M907" s="4" t="str" cm="1">
        <f t="array" ref="M907">MID(A907,MAX(IFERROR(FIND({"省"},A907),0),IFERROR(FIND({"市"},A907),0),IFERROR(FIND({"区"},A907),0),IFERROR(FIND({"县"},A907),0))+1,FIND("街道",A907)-MAX(IFERROR(FIND({"省"},A907),0),IFERROR(FIND({"市"},A907),0),IFERROR(FIND({"区"},A907),0),IFERROR(FIND({"县"},A907),0))-1+2)</f>
        <v>三八街道</v>
      </c>
      <c r="O907" s="4" t="str" cm="1">
        <f t="array" ref="O907">_xlfn.LET(_xlpm.fullText,A907,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07" s="4" t="str" cm="1">
        <f t="array" ref="Q907">_xlfn.LET(_xlpm.fullText,A907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08" ht="36" spans="1:17">
      <c r="A908" s="5" t="s">
        <v>419</v>
      </c>
      <c r="K908" s="4" t="str" cm="1">
        <f t="array" ref="K908">MID(A908,MAX(IFERROR(FIND({"省","市","区","县"},A908),0))+1,FIND("街道",A908)-MAX(IFERROR(FIND({"省","市","区","县"},A908),0))-1+2)</f>
        <v>金山桥街道</v>
      </c>
      <c r="M908" s="4" t="str" cm="1">
        <f t="array" ref="M908">MID(A908,MAX(IFERROR(FIND({"省"},A908),0),IFERROR(FIND({"市"},A908),0),IFERROR(FIND({"区"},A908),0),IFERROR(FIND({"县"},A908),0))+1,FIND("街道",A908)-MAX(IFERROR(FIND({"省"},A908),0),IFERROR(FIND({"市"},A908),0),IFERROR(FIND({"区"},A908),0),IFERROR(FIND({"县"},A908),0))-1+2)</f>
        <v>金山桥街道</v>
      </c>
      <c r="O908" s="4" t="str" cm="1">
        <f t="array" ref="O908">_xlfn.LET(_xlpm.fullText,A908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8" s="4" t="str" cm="1">
        <f t="array" ref="Q908">_xlfn.LET(_xlpm.fullText,A908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09" ht="36" spans="1:17">
      <c r="A909" s="5" t="s">
        <v>419</v>
      </c>
      <c r="K909" s="4" t="str" cm="1">
        <f t="array" ref="K909">MID(A909,MAX(IFERROR(FIND({"省","市","区","县"},A909),0))+1,FIND("街道",A909)-MAX(IFERROR(FIND({"省","市","区","县"},A909),0))-1+2)</f>
        <v>金山桥街道</v>
      </c>
      <c r="M909" s="4" t="str" cm="1">
        <f t="array" ref="M909">MID(A909,MAX(IFERROR(FIND({"省"},A909),0),IFERROR(FIND({"市"},A909),0),IFERROR(FIND({"区"},A909),0),IFERROR(FIND({"县"},A909),0))+1,FIND("街道",A909)-MAX(IFERROR(FIND({"省"},A909),0),IFERROR(FIND({"市"},A909),0),IFERROR(FIND({"区"},A909),0),IFERROR(FIND({"县"},A909),0))-1+2)</f>
        <v>金山桥街道</v>
      </c>
      <c r="O909" s="4" t="str" cm="1">
        <f t="array" ref="O909">_xlfn.LET(_xlpm.fullText,A909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09" s="4" t="str" cm="1">
        <f t="array" ref="Q909">_xlfn.LET(_xlpm.fullText,A909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10" ht="36" spans="1:17">
      <c r="A910" s="5" t="s">
        <v>419</v>
      </c>
      <c r="K910" s="4" t="str" cm="1">
        <f t="array" ref="K910">MID(A910,MAX(IFERROR(FIND({"省","市","区","县"},A910),0))+1,FIND("街道",A910)-MAX(IFERROR(FIND({"省","市","区","县"},A910),0))-1+2)</f>
        <v>金山桥街道</v>
      </c>
      <c r="M910" s="4" t="str" cm="1">
        <f t="array" ref="M910">MID(A910,MAX(IFERROR(FIND({"省"},A910),0),IFERROR(FIND({"市"},A910),0),IFERROR(FIND({"区"},A910),0),IFERROR(FIND({"县"},A910),0))+1,FIND("街道",A910)-MAX(IFERROR(FIND({"省"},A910),0),IFERROR(FIND({"市"},A910),0),IFERROR(FIND({"区"},A910),0),IFERROR(FIND({"县"},A910),0))-1+2)</f>
        <v>金山桥街道</v>
      </c>
      <c r="O910" s="4" t="str" cm="1">
        <f t="array" ref="O910">_xlfn.LET(_xlpm.fullText,A910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10" s="4" t="str" cm="1">
        <f t="array" ref="Q910">_xlfn.LET(_xlpm.fullText,A910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11" ht="24" spans="1:17">
      <c r="A911" s="5" t="s">
        <v>430</v>
      </c>
      <c r="K911" s="4" t="str" cm="1">
        <f t="array" ref="K911">MID(A911,MAX(IFERROR(FIND({"省","市","区","县"},A911),0))+1,FIND("街道",A911)-MAX(IFERROR(FIND({"省","市","区","县"},A911),0))-1+2)</f>
        <v>城东街道</v>
      </c>
      <c r="M911" s="4" t="str" cm="1">
        <f t="array" ref="M911">MID(A911,MAX(IFERROR(FIND({"省"},A911),0),IFERROR(FIND({"市"},A911),0),IFERROR(FIND({"区"},A911),0),IFERROR(FIND({"县"},A911),0))+1,FIND("街道",A911)-MAX(IFERROR(FIND({"省"},A911),0),IFERROR(FIND({"市"},A911),0),IFERROR(FIND({"区"},A911),0),IFERROR(FIND({"县"},A911),0))-1+2)</f>
        <v>城东街道</v>
      </c>
      <c r="O911" s="4" t="str" cm="1">
        <f t="array" ref="O911">_xlfn.LET(_xlpm.fullText,A911,_xlpm.streetPos,FIND("街道",_xlpm.fullText)+2,_xlpm.prefixText,LEFT(_xlpm.fullText,_xlpm.streetPos-1),_xlpm.adminPos,MAX(IFERROR(FIND({"省","市","区","县"},_xlpm.prefixText),0)),IF(_xlpm.adminPos&gt;0,MID(_xlpm.prefixText,_xlpm.adminPos+1,_xlpm.streetPos-_xlpm.adminPos-3+2),LEFT(_xlpm.prefixText,FIND("街道",_xlpm.prefixText)-1+2)))</f>
        <v>城东街道</v>
      </c>
      <c r="Q911" s="4" t="str" cm="1">
        <f t="array" ref="Q911">_xlfn.LET(_xlpm.fullText,A911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城东街道</v>
      </c>
    </row>
    <row r="912" ht="36" spans="1:17">
      <c r="A912" s="5" t="s">
        <v>431</v>
      </c>
      <c r="K912" s="4" t="str" cm="1">
        <f t="array" ref="K912">MID(A912,MAX(IFERROR(FIND({"省","市","区","县"},A912),0))+1,FIND("街道",A912)-MAX(IFERROR(FIND({"省","市","区","县"},A912),0))-1+2)</f>
        <v>中兴街道</v>
      </c>
      <c r="M912" s="4" t="str" cm="1">
        <f t="array" ref="M912">MID(A912,MAX(IFERROR(FIND({"省"},A912),0),IFERROR(FIND({"市"},A912),0),IFERROR(FIND({"区"},A912),0),IFERROR(FIND({"县"},A912),0))+1,FIND("街道",A912)-MAX(IFERROR(FIND({"省"},A912),0),IFERROR(FIND({"市"},A912),0),IFERROR(FIND({"区"},A912),0),IFERROR(FIND({"县"},A912),0))-1+2)</f>
        <v>中兴街道</v>
      </c>
      <c r="O912" s="4" t="str" cm="1">
        <f t="array" ref="O912">_xlfn.LET(_xlpm.fullText,A912,_xlpm.streetPos,FIND("街道",_xlpm.fullText)+2,_xlpm.prefixText,LEFT(_xlpm.fullText,_xlpm.streetPos-1),_xlpm.adminPos,MAX(IFERROR(FIND({"省","市","区","县"},_xlpm.prefixText),0)),IF(_xlpm.adminPos&gt;0,MID(_xlpm.prefixText,_xlpm.adminPos+1,_xlpm.streetPos-_xlpm.adminPos-3+2),LEFT(_xlpm.prefixText,FIND("街道",_xlpm.prefixText)-1+2)))</f>
        <v>中兴街道</v>
      </c>
      <c r="Q912" s="4" t="str" cm="1">
        <f t="array" ref="Q912">_xlfn.LET(_xlpm.fullText,A912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中兴街道</v>
      </c>
    </row>
    <row r="913" ht="36" spans="1:17">
      <c r="A913" s="5" t="s">
        <v>417</v>
      </c>
      <c r="K913" s="4" t="str" cm="1">
        <f t="array" ref="K913">MID(A913,MAX(IFERROR(FIND({"省","市","区","县"},A913),0))+1,FIND("街道",A913)-MAX(IFERROR(FIND({"省","市","区","县"},A913),0))-1+2)</f>
        <v>三八街道</v>
      </c>
      <c r="M913" s="4" t="str" cm="1">
        <f t="array" ref="M913">MID(A913,MAX(IFERROR(FIND({"省"},A913),0),IFERROR(FIND({"市"},A913),0),IFERROR(FIND({"区"},A913),0),IFERROR(FIND({"县"},A913),0))+1,FIND("街道",A913)-MAX(IFERROR(FIND({"省"},A913),0),IFERROR(FIND({"市"},A913),0),IFERROR(FIND({"区"},A913),0),IFERROR(FIND({"县"},A913),0))-1+2)</f>
        <v>三八街道</v>
      </c>
      <c r="O913" s="4" t="str" cm="1">
        <f t="array" ref="O913">_xlfn.LET(_xlpm.fullText,A913,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13" s="4" t="str" cm="1">
        <f t="array" ref="Q913">_xlfn.LET(_xlpm.fullText,A913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14" ht="28.8" spans="1:17">
      <c r="A914" s="5" t="s">
        <v>432</v>
      </c>
      <c r="K914" s="4" t="str" cm="1">
        <f t="array" ref="K914">MID(A914,MAX(IFERROR(FIND({"省","市","区","县"},A914),0))+1,FIND("街道",A914)-MAX(IFERROR(FIND({"省","市","区","县"},A914),0))-1+2)</f>
        <v>金山桥街道</v>
      </c>
      <c r="M914" s="4" t="str" cm="1">
        <f t="array" ref="M914">MID(A914,MAX(IFERROR(FIND({"省"},A914),0),IFERROR(FIND({"市"},A914),0),IFERROR(FIND({"区"},A914),0),IFERROR(FIND({"县"},A914),0))+1,FIND("街道",A914)-MAX(IFERROR(FIND({"省"},A914),0),IFERROR(FIND({"市"},A914),0),IFERROR(FIND({"区"},A914),0),IFERROR(FIND({"县"},A914),0))-1+2)</f>
        <v>金山桥街道</v>
      </c>
      <c r="O914" s="4" t="str" cm="1">
        <f t="array" ref="O914">_xlfn.LET(_xlpm.fullText,A914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14" s="4" t="str" cm="1">
        <f t="array" ref="Q914">_xlfn.LET(_xlpm.fullText,A914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15" ht="36" spans="1:17">
      <c r="A915" s="5" t="s">
        <v>433</v>
      </c>
      <c r="K915" s="4" t="str" cm="1">
        <f t="array" ref="K915">MID(A915,MAX(IFERROR(FIND({"省","市","区","县"},A915),0))+1,FIND("街道",A915)-MAX(IFERROR(FIND({"省","市","区","县"},A915),0))-1+2)</f>
        <v>三八街道</v>
      </c>
      <c r="M915" s="4" t="str" cm="1">
        <f t="array" ref="M915">MID(A915,MAX(IFERROR(FIND({"省"},A915),0),IFERROR(FIND({"市"},A915),0),IFERROR(FIND({"区"},A915),0),IFERROR(FIND({"县"},A915),0))+1,FIND("街道",A915)-MAX(IFERROR(FIND({"省"},A915),0),IFERROR(FIND({"市"},A915),0),IFERROR(FIND({"区"},A915),0),IFERROR(FIND({"县"},A915),0))-1+2)</f>
        <v>三八街道</v>
      </c>
      <c r="O915" s="4" t="str" cm="1">
        <f t="array" ref="O915">_xlfn.LET(_xlpm.fullText,A915,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15" s="4" t="str" cm="1">
        <f t="array" ref="Q915">_xlfn.LET(_xlpm.fullText,A915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16" ht="28.8" spans="1:17">
      <c r="A916" s="5" t="s">
        <v>434</v>
      </c>
      <c r="K916" s="4" t="str" cm="1">
        <f t="array" ref="K916">MID(A916,MAX(IFERROR(FIND({"省","市","区","县"},A916),0))+1,FIND("街道",A916)-MAX(IFERROR(FIND({"省","市","区","县"},A916),0))-1+2)</f>
        <v>界首市东城街道</v>
      </c>
      <c r="M916" s="4" t="str" cm="1">
        <f t="array" ref="M916">MID(A916,MAX(IFERROR(FIND({"省"},A916),0),IFERROR(FIND({"市"},A916),0),IFERROR(FIND({"区"},A916),0),IFERROR(FIND({"县"},A916),0))+1,FIND("街道",A916)-MAX(IFERROR(FIND({"省"},A916),0),IFERROR(FIND({"市"},A916),0),IFERROR(FIND({"区"},A916),0),IFERROR(FIND({"县"},A916),0))-1+2)</f>
        <v>界首市东城街道</v>
      </c>
      <c r="O916" s="4" t="str" cm="1">
        <f t="array" ref="O916">_xlfn.LET(_xlpm.fullText,A916,_xlpm.streetPos,FIND("街道",_xlpm.fullText)+2,_xlpm.prefixText,LEFT(_xlpm.fullText,_xlpm.streetPos-1),_xlpm.adminPos,MAX(IFERROR(FIND({"省","市","区","县"},_xlpm.prefixText),0)),IF(_xlpm.adminPos&gt;0,MID(_xlpm.prefixText,_xlpm.adminPos+1,_xlpm.streetPos-_xlpm.adminPos-3+2),LEFT(_xlpm.prefixText,FIND("街道",_xlpm.prefixText)-1+2)))</f>
        <v>界首市东城街道</v>
      </c>
      <c r="Q916" s="4" t="str" cm="1">
        <f t="array" ref="Q916">_xlfn.LET(_xlpm.fullText,A916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东城街道</v>
      </c>
    </row>
    <row r="917" ht="36" spans="1:17">
      <c r="A917" s="5" t="s">
        <v>435</v>
      </c>
      <c r="K917" s="4" t="str" cm="1">
        <f t="array" ref="K917">MID(A917,MAX(IFERROR(FIND({"省","市","区","县"},A917),0))+1,FIND("街道",A917)-MAX(IFERROR(FIND({"省","市","区","县"},A917),0))-1+2)</f>
        <v>相南街道</v>
      </c>
      <c r="M917" s="4" t="str" cm="1">
        <f t="array" ref="M917">MID(A917,MAX(IFERROR(FIND({"省"},A917),0),IFERROR(FIND({"市"},A917),0),IFERROR(FIND({"区"},A917),0),IFERROR(FIND({"县"},A917),0))+1,FIND("街道",A917)-MAX(IFERROR(FIND({"省"},A917),0),IFERROR(FIND({"市"},A917),0),IFERROR(FIND({"区"},A917),0),IFERROR(FIND({"县"},A917),0))-1+2)</f>
        <v>相南街道</v>
      </c>
      <c r="O917" s="4" t="str" cm="1">
        <f t="array" ref="O917">_xlfn.LET(_xlpm.fullText,A917,_xlpm.streetPos,FIND("街道",_xlpm.fullText)+2,_xlpm.prefixText,LEFT(_xlpm.fullText,_xlpm.streetPos-1),_xlpm.adminPos,MAX(IFERROR(FIND({"省","市","区","县"},_xlpm.prefixText),0)),IF(_xlpm.adminPos&gt;0,MID(_xlpm.prefixText,_xlpm.adminPos+1,_xlpm.streetPos-_xlpm.adminPos-3+2),LEFT(_xlpm.prefixText,FIND("街道",_xlpm.prefixText)-1+2)))</f>
        <v>相南街道</v>
      </c>
      <c r="Q917" s="4" t="str" cm="1">
        <f t="array" ref="Q917">_xlfn.LET(_xlpm.fullText,A917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相南街道</v>
      </c>
    </row>
    <row r="918" ht="36" spans="1:17">
      <c r="A918" s="5" t="s">
        <v>436</v>
      </c>
      <c r="K918" s="4" t="str" cm="1">
        <f t="array" ref="K918">MID(A918,MAX(IFERROR(FIND({"省","市","区","县"},A918),0))+1,FIND("街道",A918)-MAX(IFERROR(FIND({"省","市","区","县"},A918),0))-1+2)</f>
        <v>金山桥街道</v>
      </c>
      <c r="M918" s="4" t="str" cm="1">
        <f t="array" ref="M918">MID(A918,MAX(IFERROR(FIND({"省"},A918),0),IFERROR(FIND({"市"},A918),0),IFERROR(FIND({"区"},A918),0),IFERROR(FIND({"县"},A918),0))+1,FIND("街道",A918)-MAX(IFERROR(FIND({"省"},A918),0),IFERROR(FIND({"市"},A918),0),IFERROR(FIND({"区"},A918),0),IFERROR(FIND({"县"},A918),0))-1+2)</f>
        <v>金山桥街道</v>
      </c>
      <c r="O918" s="4" t="str" cm="1">
        <f t="array" ref="O918">_xlfn.LET(_xlpm.fullText,A918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18" s="4" t="str" cm="1">
        <f t="array" ref="Q918">_xlfn.LET(_xlpm.fullText,A918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19" ht="36" spans="1:17">
      <c r="A919" s="5" t="s">
        <v>437</v>
      </c>
      <c r="K919" s="4" t="str" cm="1">
        <f t="array" ref="K919">MID(A919,MAX(IFERROR(FIND({"省","市","区","县"},A919),0))+1,FIND("街道",A919)-MAX(IFERROR(FIND({"省","市","区","县"},A919),0))-1+2)</f>
        <v>三八街道</v>
      </c>
      <c r="M919" s="4" t="str" cm="1">
        <f t="array" ref="M919">MID(A919,MAX(IFERROR(FIND({"省"},A919),0),IFERROR(FIND({"市"},A919),0),IFERROR(FIND({"区"},A919),0),IFERROR(FIND({"县"},A919),0))+1,FIND("街道",A919)-MAX(IFERROR(FIND({"省"},A919),0),IFERROR(FIND({"市"},A919),0),IFERROR(FIND({"区"},A919),0),IFERROR(FIND({"县"},A919),0))-1+2)</f>
        <v>三八街道</v>
      </c>
      <c r="O919" s="4" t="str" cm="1">
        <f t="array" ref="O919">_xlfn.LET(_xlpm.fullText,A919,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19" s="4" t="str" cm="1">
        <f t="array" ref="Q919">_xlfn.LET(_xlpm.fullText,A919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20" ht="36" spans="1:17">
      <c r="A920" s="5" t="s">
        <v>436</v>
      </c>
      <c r="K920" s="4" t="str" cm="1">
        <f t="array" ref="K920">MID(A920,MAX(IFERROR(FIND({"省","市","区","县"},A920),0))+1,FIND("街道",A920)-MAX(IFERROR(FIND({"省","市","区","县"},A920),0))-1+2)</f>
        <v>金山桥街道</v>
      </c>
      <c r="M920" s="4" t="str" cm="1">
        <f t="array" ref="M920">MID(A920,MAX(IFERROR(FIND({"省"},A920),0),IFERROR(FIND({"市"},A920),0),IFERROR(FIND({"区"},A920),0),IFERROR(FIND({"县"},A920),0))+1,FIND("街道",A920)-MAX(IFERROR(FIND({"省"},A920),0),IFERROR(FIND({"市"},A920),0),IFERROR(FIND({"区"},A920),0),IFERROR(FIND({"县"},A920),0))-1+2)</f>
        <v>金山桥街道</v>
      </c>
      <c r="O920" s="4" t="str" cm="1">
        <f t="array" ref="O920">_xlfn.LET(_xlpm.fullText,A920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0" s="4" t="str" cm="1">
        <f t="array" ref="Q920">_xlfn.LET(_xlpm.fullText,A920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1" ht="48" spans="1:17">
      <c r="A921" s="5" t="s">
        <v>438</v>
      </c>
      <c r="K921" s="4" t="str" cm="1">
        <f t="array" ref="K921">MID(A921,MAX(IFERROR(FIND({"省","市","区","县"},A921),0))+1,FIND("街道",A921)-MAX(IFERROR(FIND({"省","市","区","县"},A921),0))-1+2)</f>
        <v>京九路街道</v>
      </c>
      <c r="M921" s="4" t="str" cm="1">
        <f t="array" ref="M921">MID(A921,MAX(IFERROR(FIND({"省"},A921),0),IFERROR(FIND({"市"},A921),0),IFERROR(FIND({"区"},A921),0),IFERROR(FIND({"县"},A921),0))+1,FIND("街道",A921)-MAX(IFERROR(FIND({"省"},A921),0),IFERROR(FIND({"市"},A921),0),IFERROR(FIND({"区"},A921),0),IFERROR(FIND({"县"},A921),0))-1+2)</f>
        <v>京九路街道</v>
      </c>
      <c r="O921" s="4" t="str" cm="1">
        <f t="array" ref="O921">_xlfn.LET(_xlpm.fullText,A921,_xlpm.streetPos,FIND("街道",_xlpm.fullText)+2,_xlpm.prefixText,LEFT(_xlpm.fullText,_xlpm.streetPos-1),_xlpm.adminPos,MAX(IFERROR(FIND({"省","市","区","县"},_xlpm.prefixText),0)),IF(_xlpm.adminPos&gt;0,MID(_xlpm.prefixText,_xlpm.adminPos+1,_xlpm.streetPos-_xlpm.adminPos-3+2),LEFT(_xlpm.prefixText,FIND("街道",_xlpm.prefixText)-1+2)))</f>
        <v>京九路街道</v>
      </c>
      <c r="Q921" s="4" t="str" cm="1">
        <f t="array" ref="Q921">_xlfn.LET(_xlpm.fullText,A921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京九路街道</v>
      </c>
    </row>
    <row r="922" ht="28.8" spans="1:17">
      <c r="A922" s="5" t="s">
        <v>432</v>
      </c>
      <c r="K922" s="4" t="str" cm="1">
        <f t="array" ref="K922">MID(A922,MAX(IFERROR(FIND({"省","市","区","县"},A922),0))+1,FIND("街道",A922)-MAX(IFERROR(FIND({"省","市","区","县"},A922),0))-1+2)</f>
        <v>金山桥街道</v>
      </c>
      <c r="M922" s="4" t="str" cm="1">
        <f t="array" ref="M922">MID(A922,MAX(IFERROR(FIND({"省"},A922),0),IFERROR(FIND({"市"},A922),0),IFERROR(FIND({"区"},A922),0),IFERROR(FIND({"县"},A922),0))+1,FIND("街道",A922)-MAX(IFERROR(FIND({"省"},A922),0),IFERROR(FIND({"市"},A922),0),IFERROR(FIND({"区"},A922),0),IFERROR(FIND({"县"},A922),0))-1+2)</f>
        <v>金山桥街道</v>
      </c>
      <c r="O922" s="4" t="str" cm="1">
        <f t="array" ref="O922">_xlfn.LET(_xlpm.fullText,A922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2" s="4" t="str" cm="1">
        <f t="array" ref="Q922">_xlfn.LET(_xlpm.fullText,A922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3" ht="28.8" spans="1:17">
      <c r="A923" s="5" t="s">
        <v>432</v>
      </c>
      <c r="K923" s="4" t="str" cm="1">
        <f t="array" ref="K923">MID(A923,MAX(IFERROR(FIND({"省","市","区","县"},A923),0))+1,FIND("街道",A923)-MAX(IFERROR(FIND({"省","市","区","县"},A923),0))-1+2)</f>
        <v>金山桥街道</v>
      </c>
      <c r="M923" s="4" t="str" cm="1">
        <f t="array" ref="M923">MID(A923,MAX(IFERROR(FIND({"省"},A923),0),IFERROR(FIND({"市"},A923),0),IFERROR(FIND({"区"},A923),0),IFERROR(FIND({"县"},A923),0))+1,FIND("街道",A923)-MAX(IFERROR(FIND({"省"},A923),0),IFERROR(FIND({"市"},A923),0),IFERROR(FIND({"区"},A923),0),IFERROR(FIND({"县"},A923),0))-1+2)</f>
        <v>金山桥街道</v>
      </c>
      <c r="O923" s="4" t="str" cm="1">
        <f t="array" ref="O923">_xlfn.LET(_xlpm.fullText,A923,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3" s="4" t="str" cm="1">
        <f t="array" ref="Q923">_xlfn.LET(_xlpm.fullText,A923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4" ht="36" spans="1:17">
      <c r="A924" s="5" t="s">
        <v>422</v>
      </c>
      <c r="K924" s="4" t="str" cm="1">
        <f t="array" ref="K924">MID(A924,MAX(IFERROR(FIND({"省","市","区","县"},A924),0))+1,FIND("街道",A924)-MAX(IFERROR(FIND({"省","市","区","县"},A924),0))-1+2)</f>
        <v>金山桥街道</v>
      </c>
      <c r="M924" s="4" t="str" cm="1">
        <f t="array" ref="M924">MID(A924,MAX(IFERROR(FIND({"省"},A924),0),IFERROR(FIND({"市"},A924),0),IFERROR(FIND({"区"},A924),0),IFERROR(FIND({"县"},A924),0))+1,FIND("街道",A924)-MAX(IFERROR(FIND({"省"},A924),0),IFERROR(FIND({"市"},A924),0),IFERROR(FIND({"区"},A924),0),IFERROR(FIND({"县"},A924),0))-1+2)</f>
        <v>金山桥街道</v>
      </c>
      <c r="O924" s="4" t="str" cm="1">
        <f t="array" ref="O924">_xlfn.LET(_xlpm.fullText,A924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4" s="4" t="str" cm="1">
        <f t="array" ref="Q924">_xlfn.LET(_xlpm.fullText,A924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5" ht="60" spans="1:17">
      <c r="A925" s="5" t="s">
        <v>439</v>
      </c>
      <c r="K925" s="4" t="str" cm="1">
        <f t="array" ref="K925">MID(A925,MAX(IFERROR(FIND({"省","市","区","县"},A925),0))+1,FIND("街道",A925)-MAX(IFERROR(FIND({"省","市","区","县"},A925),0))-1+2)</f>
        <v>三八街道</v>
      </c>
      <c r="M925" s="4" t="str" cm="1">
        <f t="array" ref="M925">MID(A925,MAX(IFERROR(FIND({"省"},A925),0),IFERROR(FIND({"市"},A925),0),IFERROR(FIND({"区"},A925),0),IFERROR(FIND({"县"},A925),0))+1,FIND("街道",A925)-MAX(IFERROR(FIND({"省"},A925),0),IFERROR(FIND({"市"},A925),0),IFERROR(FIND({"区"},A925),0),IFERROR(FIND({"县"},A925),0))-1+2)</f>
        <v>三八街道</v>
      </c>
      <c r="O925" s="4" t="str" cm="1">
        <f t="array" ref="O925">_xlfn.LET(_xlpm.fullText,A925,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25" s="4" t="str" cm="1">
        <f t="array" ref="Q925">_xlfn.LET(_xlpm.fullText,A925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26" ht="36" spans="1:17">
      <c r="A926" s="5" t="s">
        <v>436</v>
      </c>
      <c r="K926" s="4" t="str" cm="1">
        <f t="array" ref="K926">MID(A926,MAX(IFERROR(FIND({"省","市","区","县"},A926),0))+1,FIND("街道",A926)-MAX(IFERROR(FIND({"省","市","区","县"},A926),0))-1+2)</f>
        <v>金山桥街道</v>
      </c>
      <c r="M926" s="4" t="str" cm="1">
        <f t="array" ref="M926">MID(A926,MAX(IFERROR(FIND({"省"},A926),0),IFERROR(FIND({"市"},A926),0),IFERROR(FIND({"区"},A926),0),IFERROR(FIND({"县"},A926),0))+1,FIND("街道",A926)-MAX(IFERROR(FIND({"省"},A926),0),IFERROR(FIND({"市"},A926),0),IFERROR(FIND({"区"},A926),0),IFERROR(FIND({"县"},A926),0))-1+2)</f>
        <v>金山桥街道</v>
      </c>
      <c r="O926" s="4" t="str" cm="1">
        <f t="array" ref="O926">_xlfn.LET(_xlpm.fullText,A926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6" s="4" t="str" cm="1">
        <f t="array" ref="Q926">_xlfn.LET(_xlpm.fullText,A926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7" ht="36" spans="1:17">
      <c r="A927" s="5" t="s">
        <v>436</v>
      </c>
      <c r="K927" s="4" t="str" cm="1">
        <f t="array" ref="K927">MID(A927,MAX(IFERROR(FIND({"省","市","区","县"},A927),0))+1,FIND("街道",A927)-MAX(IFERROR(FIND({"省","市","区","县"},A927),0))-1+2)</f>
        <v>金山桥街道</v>
      </c>
      <c r="M927" s="4" t="str" cm="1">
        <f t="array" ref="M927">MID(A927,MAX(IFERROR(FIND({"省"},A927),0),IFERROR(FIND({"市"},A927),0),IFERROR(FIND({"区"},A927),0),IFERROR(FIND({"县"},A927),0))+1,FIND("街道",A927)-MAX(IFERROR(FIND({"省"},A927),0),IFERROR(FIND({"市"},A927),0),IFERROR(FIND({"区"},A927),0),IFERROR(FIND({"县"},A927),0))-1+2)</f>
        <v>金山桥街道</v>
      </c>
      <c r="O927" s="4" t="str" cm="1">
        <f t="array" ref="O927">_xlfn.LET(_xlpm.fullText,A927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7" s="4" t="str" cm="1">
        <f t="array" ref="Q927">_xlfn.LET(_xlpm.fullText,A927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8" ht="36" spans="1:17">
      <c r="A928" s="5" t="s">
        <v>436</v>
      </c>
      <c r="K928" s="4" t="str" cm="1">
        <f t="array" ref="K928">MID(A928,MAX(IFERROR(FIND({"省","市","区","县"},A928),0))+1,FIND("街道",A928)-MAX(IFERROR(FIND({"省","市","区","县"},A928),0))-1+2)</f>
        <v>金山桥街道</v>
      </c>
      <c r="M928" s="4" t="str" cm="1">
        <f t="array" ref="M928">MID(A928,MAX(IFERROR(FIND({"省"},A928),0),IFERROR(FIND({"市"},A928),0),IFERROR(FIND({"区"},A928),0),IFERROR(FIND({"县"},A928),0))+1,FIND("街道",A928)-MAX(IFERROR(FIND({"省"},A928),0),IFERROR(FIND({"市"},A928),0),IFERROR(FIND({"区"},A928),0),IFERROR(FIND({"县"},A928),0))-1+2)</f>
        <v>金山桥街道</v>
      </c>
      <c r="O928" s="4" t="str" cm="1">
        <f t="array" ref="O928">_xlfn.LET(_xlpm.fullText,A928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28" s="4" t="str" cm="1">
        <f t="array" ref="Q928">_xlfn.LET(_xlpm.fullText,A928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29" ht="36" spans="1:17">
      <c r="A929" s="5" t="s">
        <v>440</v>
      </c>
      <c r="K929" s="4" t="str" cm="1">
        <f t="array" ref="K929">MID(A929,MAX(IFERROR(FIND({"省","市","区","县"},A929),0))+1,FIND("街道",A929)-MAX(IFERROR(FIND({"省","市","区","县"},A929),0))-1+2)</f>
        <v>三八街道</v>
      </c>
      <c r="M929" s="4" t="str" cm="1">
        <f t="array" ref="M929">MID(A929,MAX(IFERROR(FIND({"省"},A929),0),IFERROR(FIND({"市"},A929),0),IFERROR(FIND({"区"},A929),0),IFERROR(FIND({"县"},A929),0))+1,FIND("街道",A929)-MAX(IFERROR(FIND({"省"},A929),0),IFERROR(FIND({"市"},A929),0),IFERROR(FIND({"区"},A929),0),IFERROR(FIND({"县"},A929),0))-1+2)</f>
        <v>三八街道</v>
      </c>
      <c r="O929" s="4" t="str" cm="1">
        <f t="array" ref="O929">_xlfn.LET(_xlpm.fullText,A929,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29" s="4" t="str" cm="1">
        <f t="array" ref="Q929">_xlfn.LET(_xlpm.fullText,A929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30" ht="36" spans="1:17">
      <c r="A930" s="5" t="s">
        <v>329</v>
      </c>
      <c r="K930" s="4" t="str" cm="1">
        <f t="array" ref="K930">MID(A930,MAX(IFERROR(FIND({"省","市","区","县"},A930),0))+1,FIND("街道",A930)-MAX(IFERROR(FIND({"省","市","区","县"},A930),0))-1+2)</f>
        <v>三水街道</v>
      </c>
      <c r="M930" s="4" t="str" cm="1">
        <f t="array" ref="M930">MID(A930,MAX(IFERROR(FIND({"省"},A930),0),IFERROR(FIND({"市"},A930),0),IFERROR(FIND({"区"},A930),0),IFERROR(FIND({"县"},A930),0))+1,FIND("街道",A930)-MAX(IFERROR(FIND({"省"},A930),0),IFERROR(FIND({"市"},A930),0),IFERROR(FIND({"区"},A930),0),IFERROR(FIND({"县"},A930),0))-1+2)</f>
        <v>三水街道</v>
      </c>
      <c r="O930" s="4" t="str" cm="1">
        <f t="array" ref="O930">_xlfn.LET(_xlpm.fullText,A930,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930" s="4" t="str" cm="1">
        <f t="array" ref="Q930">_xlfn.LET(_xlpm.fullText,A930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931" ht="36" spans="1:17">
      <c r="A931" s="5" t="s">
        <v>441</v>
      </c>
      <c r="K931" s="4" t="str" cm="1">
        <f t="array" ref="K931">MID(A931,MAX(IFERROR(FIND({"省","市","区","县"},A931),0))+1,FIND("街道",A931)-MAX(IFERROR(FIND({"省","市","区","县"},A931),0))-1+2)</f>
        <v>火花街道</v>
      </c>
      <c r="M931" s="4" t="str" cm="1">
        <f t="array" ref="M931">MID(A931,MAX(IFERROR(FIND({"省"},A931),0),IFERROR(FIND({"市"},A931),0),IFERROR(FIND({"区"},A931),0),IFERROR(FIND({"县"},A931),0))+1,FIND("街道",A931)-MAX(IFERROR(FIND({"省"},A931),0),IFERROR(FIND({"市"},A931),0),IFERROR(FIND({"区"},A931),0),IFERROR(FIND({"县"},A931),0))-1+2)</f>
        <v>火花街道</v>
      </c>
      <c r="O931" s="4" t="str" cm="1">
        <f t="array" ref="O931">_xlfn.LET(_xlpm.fullText,A931,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31" s="4" t="str" cm="1">
        <f t="array" ref="Q931">_xlfn.LET(_xlpm.fullText,A931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32" ht="36" spans="1:17">
      <c r="A932" s="5" t="s">
        <v>422</v>
      </c>
      <c r="K932" s="4" t="str" cm="1">
        <f t="array" ref="K932">MID(A932,MAX(IFERROR(FIND({"省","市","区","县"},A932),0))+1,FIND("街道",A932)-MAX(IFERROR(FIND({"省","市","区","县"},A932),0))-1+2)</f>
        <v>金山桥街道</v>
      </c>
      <c r="M932" s="4" t="str" cm="1">
        <f t="array" ref="M932">MID(A932,MAX(IFERROR(FIND({"省"},A932),0),IFERROR(FIND({"市"},A932),0),IFERROR(FIND({"区"},A932),0),IFERROR(FIND({"县"},A932),0))+1,FIND("街道",A932)-MAX(IFERROR(FIND({"省"},A932),0),IFERROR(FIND({"市"},A932),0),IFERROR(FIND({"区"},A932),0),IFERROR(FIND({"县"},A932),0))-1+2)</f>
        <v>金山桥街道</v>
      </c>
      <c r="O932" s="4" t="str" cm="1">
        <f t="array" ref="O932">_xlfn.LET(_xlpm.fullText,A932,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32" s="4" t="str" cm="1">
        <f t="array" ref="Q932">_xlfn.LET(_xlpm.fullText,A932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33" ht="36" spans="1:17">
      <c r="A933" s="5" t="s">
        <v>442</v>
      </c>
      <c r="K933" s="4" t="str" cm="1">
        <f t="array" ref="K933">MID(A933,MAX(IFERROR(FIND({"省","市","区","县"},A933),0))+1,FIND("街道",A933)-MAX(IFERROR(FIND({"省","市","区","县"},A933),0))-1+2)</f>
        <v>金龙湖街道</v>
      </c>
      <c r="M933" s="4" t="str" cm="1">
        <f t="array" ref="M933">MID(A933,MAX(IFERROR(FIND({"省"},A933),0),IFERROR(FIND({"市"},A933),0),IFERROR(FIND({"区"},A933),0),IFERROR(FIND({"县"},A933),0))+1,FIND("街道",A933)-MAX(IFERROR(FIND({"省"},A933),0),IFERROR(FIND({"市"},A933),0),IFERROR(FIND({"区"},A933),0),IFERROR(FIND({"县"},A933),0))-1+2)</f>
        <v>金龙湖街道</v>
      </c>
      <c r="O933" s="4" t="str" cm="1">
        <f t="array" ref="O933">_xlfn.LET(_xlpm.fullText,A933,_xlpm.streetPos,FIND("街道",_xlpm.fullText)+2,_xlpm.prefixText,LEFT(_xlpm.fullText,_xlpm.streetPos-1),_xlpm.adminPos,MAX(IFERROR(FIND({"省","市","区","县"},_xlpm.prefixText),0)),IF(_xlpm.adminPos&gt;0,MID(_xlpm.prefixText,_xlpm.adminPos+1,_xlpm.streetPos-_xlpm.adminPos-3+2),LEFT(_xlpm.prefixText,FIND("街道",_xlpm.prefixText)-1+2)))</f>
        <v>金龙湖街道</v>
      </c>
      <c r="Q933" s="4" t="str" cm="1">
        <f t="array" ref="Q933">_xlfn.LET(_xlpm.fullText,A933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金龙湖街道</v>
      </c>
    </row>
    <row r="934" ht="36" spans="1:17">
      <c r="A934" s="5" t="s">
        <v>443</v>
      </c>
      <c r="K934" s="4" t="str" cm="1">
        <f t="array" ref="K934">MID(A934,MAX(IFERROR(FIND({"省","市","区","县"},A934),0))+1,FIND("街道",A934)-MAX(IFERROR(FIND({"省","市","区","县"},A934),0))-1+2)</f>
        <v>嵩屿街道</v>
      </c>
      <c r="M934" s="4" t="str" cm="1">
        <f t="array" ref="M934">MID(A934,MAX(IFERROR(FIND({"省"},A934),0),IFERROR(FIND({"市"},A934),0),IFERROR(FIND({"区"},A934),0),IFERROR(FIND({"县"},A934),0))+1,FIND("街道",A934)-MAX(IFERROR(FIND({"省"},A934),0),IFERROR(FIND({"市"},A934),0),IFERROR(FIND({"区"},A934),0),IFERROR(FIND({"县"},A934),0))-1+2)</f>
        <v>嵩屿街道</v>
      </c>
      <c r="O934" s="4" t="str" cm="1">
        <f t="array" ref="O934">_xlfn.LET(_xlpm.fullText,A934,_xlpm.streetPos,FIND("街道",_xlpm.fullText)+2,_xlpm.prefixText,LEFT(_xlpm.fullText,_xlpm.streetPos-1),_xlpm.adminPos,MAX(IFERROR(FIND({"省","市","区","县"},_xlpm.prefixText),0)),IF(_xlpm.adminPos&gt;0,MID(_xlpm.prefixText,_xlpm.adminPos+1,_xlpm.streetPos-_xlpm.adminPos-3+2),LEFT(_xlpm.prefixText,FIND("街道",_xlpm.prefixText)-1+2)))</f>
        <v>嵩屿街道</v>
      </c>
      <c r="Q934" s="4" t="str" cm="1">
        <f t="array" ref="Q934">_xlfn.LET(_xlpm.fullText,A934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嵩屿街道</v>
      </c>
    </row>
    <row r="935" ht="36" spans="1:17">
      <c r="A935" s="5" t="s">
        <v>422</v>
      </c>
      <c r="K935" s="4" t="str" cm="1">
        <f t="array" ref="K935">MID(A935,MAX(IFERROR(FIND({"省","市","区","县"},A935),0))+1,FIND("街道",A935)-MAX(IFERROR(FIND({"省","市","区","县"},A935),0))-1+2)</f>
        <v>金山桥街道</v>
      </c>
      <c r="M935" s="4" t="str" cm="1">
        <f t="array" ref="M935">MID(A935,MAX(IFERROR(FIND({"省"},A935),0),IFERROR(FIND({"市"},A935),0),IFERROR(FIND({"区"},A935),0),IFERROR(FIND({"县"},A935),0))+1,FIND("街道",A935)-MAX(IFERROR(FIND({"省"},A935),0),IFERROR(FIND({"市"},A935),0),IFERROR(FIND({"区"},A935),0),IFERROR(FIND({"县"},A935),0))-1+2)</f>
        <v>金山桥街道</v>
      </c>
      <c r="O935" s="4" t="str" cm="1">
        <f t="array" ref="O935">_xlfn.LET(_xlpm.fullText,A935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35" s="4" t="str" cm="1">
        <f t="array" ref="Q935">_xlfn.LET(_xlpm.fullText,A935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36" ht="36" spans="1:17">
      <c r="A936" s="5" t="s">
        <v>444</v>
      </c>
      <c r="K936" s="4" t="str" cm="1">
        <f t="array" ref="K936">MID(A936,MAX(IFERROR(FIND({"省","市","区","县"},A936),0))+1,FIND("街道",A936)-MAX(IFERROR(FIND({"省","市","区","县"},A936),0))-1+2)</f>
        <v>西关街道</v>
      </c>
      <c r="M936" s="4" t="str" cm="1">
        <f t="array" ref="M936">MID(A936,MAX(IFERROR(FIND({"省"},A936),0),IFERROR(FIND({"市"},A936),0),IFERROR(FIND({"区"},A936),0),IFERROR(FIND({"县"},A936),0))+1,FIND("街道",A936)-MAX(IFERROR(FIND({"省"},A936),0),IFERROR(FIND({"市"},A936),0),IFERROR(FIND({"区"},A936),0),IFERROR(FIND({"县"},A936),0))-1+2)</f>
        <v>西关街道</v>
      </c>
      <c r="O936" s="4" t="str" cm="1">
        <f t="array" ref="O936">_xlfn.LET(_xlpm.fullText,A936,_xlpm.streetPos,FIND("街道",_xlpm.fullText)+2,_xlpm.prefixText,LEFT(_xlpm.fullText,_xlpm.streetPos-1),_xlpm.adminPos,MAX(IFERROR(FIND({"省","市","区","县"},_xlpm.prefixText),0)),IF(_xlpm.adminPos&gt;0,MID(_xlpm.prefixText,_xlpm.adminPos+1,_xlpm.streetPos-_xlpm.adminPos-3+2),LEFT(_xlpm.prefixText,FIND("街道",_xlpm.prefixText)-1+2)))</f>
        <v>西关街道</v>
      </c>
      <c r="Q936" s="4" t="str" cm="1">
        <f t="array" ref="Q936">_xlfn.LET(_xlpm.fullText,A936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西关街道</v>
      </c>
    </row>
    <row r="937" ht="36" spans="1:17">
      <c r="A937" s="5" t="s">
        <v>422</v>
      </c>
      <c r="K937" s="4" t="str" cm="1">
        <f t="array" ref="K937">MID(A937,MAX(IFERROR(FIND({"省","市","区","县"},A937),0))+1,FIND("街道",A937)-MAX(IFERROR(FIND({"省","市","区","县"},A937),0))-1+2)</f>
        <v>金山桥街道</v>
      </c>
      <c r="M937" s="4" t="str" cm="1">
        <f t="array" ref="M937">MID(A937,MAX(IFERROR(FIND({"省"},A937),0),IFERROR(FIND({"市"},A937),0),IFERROR(FIND({"区"},A937),0),IFERROR(FIND({"县"},A937),0))+1,FIND("街道",A937)-MAX(IFERROR(FIND({"省"},A937),0),IFERROR(FIND({"市"},A937),0),IFERROR(FIND({"区"},A937),0),IFERROR(FIND({"县"},A937),0))-1+2)</f>
        <v>金山桥街道</v>
      </c>
      <c r="O937" s="4" t="str" cm="1">
        <f t="array" ref="O937">_xlfn.LET(_xlpm.fullText,A937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37" s="4" t="str" cm="1">
        <f t="array" ref="Q937">_xlfn.LET(_xlpm.fullText,A937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38" ht="28.8" spans="1:17">
      <c r="A938" s="5" t="s">
        <v>432</v>
      </c>
      <c r="K938" s="4" t="str" cm="1">
        <f t="array" ref="K938">MID(A938,MAX(IFERROR(FIND({"省","市","区","县"},A938),0))+1,FIND("街道",A938)-MAX(IFERROR(FIND({"省","市","区","县"},A938),0))-1+2)</f>
        <v>金山桥街道</v>
      </c>
      <c r="M938" s="4" t="str" cm="1">
        <f t="array" ref="M938">MID(A938,MAX(IFERROR(FIND({"省"},A938),0),IFERROR(FIND({"市"},A938),0),IFERROR(FIND({"区"},A938),0),IFERROR(FIND({"县"},A938),0))+1,FIND("街道",A938)-MAX(IFERROR(FIND({"省"},A938),0),IFERROR(FIND({"市"},A938),0),IFERROR(FIND({"区"},A938),0),IFERROR(FIND({"县"},A938),0))-1+2)</f>
        <v>金山桥街道</v>
      </c>
      <c r="O938" s="4" t="str" cm="1">
        <f t="array" ref="O938">_xlfn.LET(_xlpm.fullText,A938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38" s="4" t="str" cm="1">
        <f t="array" ref="Q938">_xlfn.LET(_xlpm.fullText,A938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39" ht="36" spans="1:17">
      <c r="A939" s="5" t="s">
        <v>422</v>
      </c>
      <c r="K939" s="4" t="str" cm="1">
        <f t="array" ref="K939">MID(A939,MAX(IFERROR(FIND({"省","市","区","县"},A939),0))+1,FIND("街道",A939)-MAX(IFERROR(FIND({"省","市","区","县"},A939),0))-1+2)</f>
        <v>金山桥街道</v>
      </c>
      <c r="M939" s="4" t="str" cm="1">
        <f t="array" ref="M939">MID(A939,MAX(IFERROR(FIND({"省"},A939),0),IFERROR(FIND({"市"},A939),0),IFERROR(FIND({"区"},A939),0),IFERROR(FIND({"县"},A939),0))+1,FIND("街道",A939)-MAX(IFERROR(FIND({"省"},A939),0),IFERROR(FIND({"市"},A939),0),IFERROR(FIND({"区"},A939),0),IFERROR(FIND({"县"},A939),0))-1+2)</f>
        <v>金山桥街道</v>
      </c>
      <c r="O939" s="4" t="str" cm="1">
        <f t="array" ref="O939">_xlfn.LET(_xlpm.fullText,A939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39" s="4" t="str" cm="1">
        <f t="array" ref="Q939">_xlfn.LET(_xlpm.fullText,A939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40" ht="36" spans="1:17">
      <c r="A940" s="5" t="s">
        <v>422</v>
      </c>
      <c r="K940" s="4" t="str" cm="1">
        <f t="array" ref="K940">MID(A940,MAX(IFERROR(FIND({"省","市","区","县"},A940),0))+1,FIND("街道",A940)-MAX(IFERROR(FIND({"省","市","区","县"},A940),0))-1+2)</f>
        <v>金山桥街道</v>
      </c>
      <c r="M940" s="4" t="str" cm="1">
        <f t="array" ref="M940">MID(A940,MAX(IFERROR(FIND({"省"},A940),0),IFERROR(FIND({"市"},A940),0),IFERROR(FIND({"区"},A940),0),IFERROR(FIND({"县"},A940),0))+1,FIND("街道",A940)-MAX(IFERROR(FIND({"省"},A940),0),IFERROR(FIND({"市"},A940),0),IFERROR(FIND({"区"},A940),0),IFERROR(FIND({"县"},A940),0))-1+2)</f>
        <v>金山桥街道</v>
      </c>
      <c r="O940" s="4" t="str" cm="1">
        <f t="array" ref="O940">_xlfn.LET(_xlpm.fullText,A940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40" s="4" t="str" cm="1">
        <f t="array" ref="Q940">_xlfn.LET(_xlpm.fullText,A940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41" ht="24" spans="1:17">
      <c r="A941" s="5" t="s">
        <v>445</v>
      </c>
      <c r="K941" s="4" t="str" cm="1">
        <f t="array" ref="K941">MID(A941,MAX(IFERROR(FIND({"省","市","区","县"},A941),0))+1,FIND("街道",A941)-MAX(IFERROR(FIND({"省","市","区","县"},A941),0))-1+2)</f>
        <v>三八街道</v>
      </c>
      <c r="M941" s="4" t="str" cm="1">
        <f t="array" ref="M941">MID(A941,MAX(IFERROR(FIND({"省"},A941),0),IFERROR(FIND({"市"},A941),0),IFERROR(FIND({"区"},A941),0),IFERROR(FIND({"县"},A941),0))+1,FIND("街道",A941)-MAX(IFERROR(FIND({"省"},A941),0),IFERROR(FIND({"市"},A941),0),IFERROR(FIND({"区"},A941),0),IFERROR(FIND({"县"},A941),0))-1+2)</f>
        <v>三八街道</v>
      </c>
      <c r="O941" s="4" t="str" cm="1">
        <f t="array" ref="O941">_xlfn.LET(_xlpm.fullText,A941,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41" s="4" t="str" cm="1">
        <f t="array" ref="Q941">_xlfn.LET(_xlpm.fullText,A941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42" ht="36" spans="1:17">
      <c r="A942" s="5" t="s">
        <v>446</v>
      </c>
      <c r="K942" s="4" t="str" cm="1">
        <f t="array" ref="K942">MID(A942,MAX(IFERROR(FIND({"省","市","区","县"},A942),0))+1,FIND("街道",A942)-MAX(IFERROR(FIND({"省","市","区","县"},A942),0))-1+2)</f>
        <v>常熟市虞山街道</v>
      </c>
      <c r="M942" s="4" t="str" cm="1">
        <f t="array" ref="M942">MID(A942,MAX(IFERROR(FIND({"省"},A942),0),IFERROR(FIND({"市"},A942),0),IFERROR(FIND({"区"},A942),0),IFERROR(FIND({"县"},A942),0))+1,FIND("街道",A942)-MAX(IFERROR(FIND({"省"},A942),0),IFERROR(FIND({"市"},A942),0),IFERROR(FIND({"区"},A942),0),IFERROR(FIND({"县"},A942),0))-1+2)</f>
        <v>常熟市虞山街道</v>
      </c>
      <c r="O942" s="4" t="str" cm="1">
        <f t="array" ref="O942">_xlfn.LET(_xlpm.fullText,A942,_xlpm.streetPos,FIND("街道",_xlpm.fullText)+2,_xlpm.prefixText,LEFT(_xlpm.fullText,_xlpm.streetPos-1),_xlpm.adminPos,MAX(IFERROR(FIND({"省","市","区","县"},_xlpm.prefixText),0)),IF(_xlpm.adminPos&gt;0,MID(_xlpm.prefixText,_xlpm.adminPos+1,_xlpm.streetPos-_xlpm.adminPos-3+2),LEFT(_xlpm.prefixText,FIND("街道",_xlpm.prefixText)-1+2)))</f>
        <v>常熟市虞山街道</v>
      </c>
      <c r="Q942" s="4" t="str" cm="1">
        <f t="array" ref="Q942">_xlfn.LET(_xlpm.fullText,A942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虞山街道</v>
      </c>
    </row>
    <row r="943" ht="36" spans="1:17">
      <c r="A943" s="5" t="s">
        <v>414</v>
      </c>
      <c r="K943" s="4" t="str" cm="1">
        <f t="array" ref="K943">MID(A943,MAX(IFERROR(FIND({"省","市","区","县"},A943),0))+1,FIND("街道",A943)-MAX(IFERROR(FIND({"省","市","区","县"},A943),0))-1+2)</f>
        <v>常熟市东南街道</v>
      </c>
      <c r="M943" s="4" t="str" cm="1">
        <f t="array" ref="M943">MID(A943,MAX(IFERROR(FIND({"省"},A943),0),IFERROR(FIND({"市"},A943),0),IFERROR(FIND({"区"},A943),0),IFERROR(FIND({"县"},A943),0))+1,FIND("街道",A943)-MAX(IFERROR(FIND({"省"},A943),0),IFERROR(FIND({"市"},A943),0),IFERROR(FIND({"区"},A943),0),IFERROR(FIND({"县"},A943),0))-1+2)</f>
        <v>常熟市东南街道</v>
      </c>
      <c r="O943" s="4" t="str" cm="1">
        <f t="array" ref="O943">_xlfn.LET(_xlpm.fullText,A943,_xlpm.streetPos,FIND("街道",_xlpm.fullText)+2,_xlpm.prefixText,LEFT(_xlpm.fullText,_xlpm.streetPos-1),_xlpm.adminPos,MAX(IFERROR(FIND({"省","市","区","县"},_xlpm.prefixText),0)),IF(_xlpm.adminPos&gt;0,MID(_xlpm.prefixText,_xlpm.adminPos+1,_xlpm.streetPos-_xlpm.adminPos-3+2),LEFT(_xlpm.prefixText,FIND("街道",_xlpm.prefixText)-1+2)))</f>
        <v>常熟市东南街道</v>
      </c>
      <c r="Q943" s="4" t="str" cm="1">
        <f t="array" ref="Q943">_xlfn.LET(_xlpm.fullText,A943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东南街道</v>
      </c>
    </row>
    <row r="944" ht="48" spans="1:17">
      <c r="A944" s="5" t="s">
        <v>447</v>
      </c>
      <c r="K944" s="4" t="str" cm="1">
        <f t="array" ref="K944">MID(A944,MAX(IFERROR(FIND({"省","市","区","县"},A944),0))+1,FIND("街道",A944)-MAX(IFERROR(FIND({"省","市","区","县"},A944),0))-1+2)</f>
        <v>江陵街道</v>
      </c>
      <c r="M944" s="4" t="str" cm="1">
        <f t="array" ref="M944">MID(A944,MAX(IFERROR(FIND({"省"},A944),0),IFERROR(FIND({"市"},A944),0),IFERROR(FIND({"区"},A944),0),IFERROR(FIND({"县"},A944),0))+1,FIND("街道",A944)-MAX(IFERROR(FIND({"省"},A944),0),IFERROR(FIND({"市"},A944),0),IFERROR(FIND({"区"},A944),0),IFERROR(FIND({"县"},A944),0))-1+2)</f>
        <v>江陵街道</v>
      </c>
      <c r="O944" s="4" t="str" cm="1">
        <f t="array" ref="O944">_xlfn.LET(_xlpm.fullText,A944,_xlpm.streetPos,FIND("街道",_xlpm.fullText)+2,_xlpm.prefixText,LEFT(_xlpm.fullText,_xlpm.streetPos-1),_xlpm.adminPos,MAX(IFERROR(FIND({"省","市","区","县"},_xlpm.prefixText),0)),IF(_xlpm.adminPos&gt;0,MID(_xlpm.prefixText,_xlpm.adminPos+1,_xlpm.streetPos-_xlpm.adminPos-3+2),LEFT(_xlpm.prefixText,FIND("街道",_xlpm.prefixText)-1+2)))</f>
        <v>江陵街道</v>
      </c>
      <c r="Q944" s="4" t="str" cm="1">
        <f t="array" ref="Q944">_xlfn.LET(_xlpm.fullText,A944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江陵街道</v>
      </c>
    </row>
    <row r="945" ht="36" spans="1:17">
      <c r="A945" s="5" t="s">
        <v>441</v>
      </c>
      <c r="K945" s="4" t="str" cm="1">
        <f t="array" ref="K945">MID(A945,MAX(IFERROR(FIND({"省","市","区","县"},A945),0))+1,FIND("街道",A945)-MAX(IFERROR(FIND({"省","市","区","县"},A945),0))-1+2)</f>
        <v>火花街道</v>
      </c>
      <c r="M945" s="4" t="str" cm="1">
        <f t="array" ref="M945">MID(A945,MAX(IFERROR(FIND({"省"},A945),0),IFERROR(FIND({"市"},A945),0),IFERROR(FIND({"区"},A945),0),IFERROR(FIND({"县"},A945),0))+1,FIND("街道",A945)-MAX(IFERROR(FIND({"省"},A945),0),IFERROR(FIND({"市"},A945),0),IFERROR(FIND({"区"},A945),0),IFERROR(FIND({"县"},A945),0))-1+2)</f>
        <v>火花街道</v>
      </c>
      <c r="O945" s="4" t="str" cm="1">
        <f t="array" ref="O945">_xlfn.LET(_xlpm.fullText,A945,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45" s="4" t="str" cm="1">
        <f t="array" ref="Q945">_xlfn.LET(_xlpm.fullText,A945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46" ht="36" spans="1:17">
      <c r="A946" s="5" t="s">
        <v>448</v>
      </c>
      <c r="K946" s="4" t="str" cm="1">
        <f t="array" ref="K946">MID(A946,MAX(IFERROR(FIND({"省","市","区","县"},A946),0))+1,FIND("街道",A946)-MAX(IFERROR(FIND({"省","市","区","县"},A946),0))-1+2)</f>
        <v>金山桥街道</v>
      </c>
      <c r="M946" s="4" t="str" cm="1">
        <f t="array" ref="M946">MID(A946,MAX(IFERROR(FIND({"省"},A946),0),IFERROR(FIND({"市"},A946),0),IFERROR(FIND({"区"},A946),0),IFERROR(FIND({"县"},A946),0))+1,FIND("街道",A946)-MAX(IFERROR(FIND({"省"},A946),0),IFERROR(FIND({"市"},A946),0),IFERROR(FIND({"区"},A946),0),IFERROR(FIND({"县"},A946),0))-1+2)</f>
        <v>金山桥街道</v>
      </c>
      <c r="O946" s="4" t="str" cm="1">
        <f t="array" ref="O946">_xlfn.LET(_xlpm.fullText,A946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46" s="4" t="str" cm="1">
        <f t="array" ref="Q946">_xlfn.LET(_xlpm.fullText,A946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47" ht="36" spans="1:17">
      <c r="A947" s="5" t="s">
        <v>436</v>
      </c>
      <c r="K947" s="4" t="str" cm="1">
        <f t="array" ref="K947">MID(A947,MAX(IFERROR(FIND({"省","市","区","县"},A947),0))+1,FIND("街道",A947)-MAX(IFERROR(FIND({"省","市","区","县"},A947),0))-1+2)</f>
        <v>金山桥街道</v>
      </c>
      <c r="M947" s="4" t="str" cm="1">
        <f t="array" ref="M947">MID(A947,MAX(IFERROR(FIND({"省"},A947),0),IFERROR(FIND({"市"},A947),0),IFERROR(FIND({"区"},A947),0),IFERROR(FIND({"县"},A947),0))+1,FIND("街道",A947)-MAX(IFERROR(FIND({"省"},A947),0),IFERROR(FIND({"市"},A947),0),IFERROR(FIND({"区"},A947),0),IFERROR(FIND({"县"},A947),0))-1+2)</f>
        <v>金山桥街道</v>
      </c>
      <c r="O947" s="4" t="str" cm="1">
        <f t="array" ref="O947">_xlfn.LET(_xlpm.fullText,A947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47" s="4" t="str" cm="1">
        <f t="array" ref="Q947">_xlfn.LET(_xlpm.fullText,A947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48" ht="28.8" spans="1:17">
      <c r="A948" s="5" t="s">
        <v>432</v>
      </c>
      <c r="K948" s="4" t="str" cm="1">
        <f t="array" ref="K948">MID(A948,MAX(IFERROR(FIND({"省","市","区","县"},A948),0))+1,FIND("街道",A948)-MAX(IFERROR(FIND({"省","市","区","县"},A948),0))-1+2)</f>
        <v>金山桥街道</v>
      </c>
      <c r="M948" s="4" t="str" cm="1">
        <f t="array" ref="M948">MID(A948,MAX(IFERROR(FIND({"省"},A948),0),IFERROR(FIND({"市"},A948),0),IFERROR(FIND({"区"},A948),0),IFERROR(FIND({"县"},A948),0))+1,FIND("街道",A948)-MAX(IFERROR(FIND({"省"},A948),0),IFERROR(FIND({"市"},A948),0),IFERROR(FIND({"区"},A948),0),IFERROR(FIND({"县"},A948),0))-1+2)</f>
        <v>金山桥街道</v>
      </c>
      <c r="O948" s="4" t="str" cm="1">
        <f t="array" ref="O948">_xlfn.LET(_xlpm.fullText,A948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48" s="4" t="str" cm="1">
        <f t="array" ref="Q948">_xlfn.LET(_xlpm.fullText,A948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49" ht="36" spans="1:17">
      <c r="A949" s="5" t="s">
        <v>422</v>
      </c>
      <c r="K949" s="4" t="str" cm="1">
        <f t="array" ref="K949">MID(A949,MAX(IFERROR(FIND({"省","市","区","县"},A949),0))+1,FIND("街道",A949)-MAX(IFERROR(FIND({"省","市","区","县"},A949),0))-1+2)</f>
        <v>金山桥街道</v>
      </c>
      <c r="M949" s="4" t="str" cm="1">
        <f t="array" ref="M949">MID(A949,MAX(IFERROR(FIND({"省"},A949),0),IFERROR(FIND({"市"},A949),0),IFERROR(FIND({"区"},A949),0),IFERROR(FIND({"县"},A949),0))+1,FIND("街道",A949)-MAX(IFERROR(FIND({"省"},A949),0),IFERROR(FIND({"市"},A949),0),IFERROR(FIND({"区"},A949),0),IFERROR(FIND({"县"},A949),0))-1+2)</f>
        <v>金山桥街道</v>
      </c>
      <c r="O949" s="4" t="str" cm="1">
        <f t="array" ref="O949">_xlfn.LET(_xlpm.fullText,A949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49" s="4" t="str" cm="1">
        <f t="array" ref="Q949">_xlfn.LET(_xlpm.fullText,A949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0" ht="28.8" spans="1:17">
      <c r="A950" s="5" t="s">
        <v>432</v>
      </c>
      <c r="K950" s="4" t="str" cm="1">
        <f t="array" ref="K950">MID(A950,MAX(IFERROR(FIND({"省","市","区","县"},A950),0))+1,FIND("街道",A950)-MAX(IFERROR(FIND({"省","市","区","县"},A950),0))-1+2)</f>
        <v>金山桥街道</v>
      </c>
      <c r="M950" s="4" t="str" cm="1">
        <f t="array" ref="M950">MID(A950,MAX(IFERROR(FIND({"省"},A950),0),IFERROR(FIND({"市"},A950),0),IFERROR(FIND({"区"},A950),0),IFERROR(FIND({"县"},A950),0))+1,FIND("街道",A950)-MAX(IFERROR(FIND({"省"},A950),0),IFERROR(FIND({"市"},A950),0),IFERROR(FIND({"区"},A950),0),IFERROR(FIND({"县"},A950),0))-1+2)</f>
        <v>金山桥街道</v>
      </c>
      <c r="O950" s="4" t="str" cm="1">
        <f t="array" ref="O950">_xlfn.LET(_xlpm.fullText,A950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0" s="4" t="str" cm="1">
        <f t="array" ref="Q950">_xlfn.LET(_xlpm.fullText,A950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1" ht="36" spans="1:17">
      <c r="A951" s="5" t="s">
        <v>449</v>
      </c>
      <c r="K951" s="4" t="str" cm="1">
        <f t="array" ref="K951">MID(A951,MAX(IFERROR(FIND({"省","市","区","县"},A951),0))+1,FIND("街道",A951)-MAX(IFERROR(FIND({"省","市","区","县"},A951),0))-1+2)</f>
        <v>三八街道</v>
      </c>
      <c r="M951" s="4" t="str" cm="1">
        <f t="array" ref="M951">MID(A951,MAX(IFERROR(FIND({"省"},A951),0),IFERROR(FIND({"市"},A951),0),IFERROR(FIND({"区"},A951),0),IFERROR(FIND({"县"},A951),0))+1,FIND("街道",A951)-MAX(IFERROR(FIND({"省"},A951),0),IFERROR(FIND({"市"},A951),0),IFERROR(FIND({"区"},A951),0),IFERROR(FIND({"县"},A951),0))-1+2)</f>
        <v>三八街道</v>
      </c>
      <c r="O951" s="4" t="str" cm="1">
        <f t="array" ref="O951">_xlfn.LET(_xlpm.fullText,A951,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51" s="4" t="str" cm="1">
        <f t="array" ref="Q951">_xlfn.LET(_xlpm.fullText,A951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52" ht="36" spans="1:17">
      <c r="A952" s="5" t="s">
        <v>450</v>
      </c>
      <c r="K952" s="4" t="str" cm="1">
        <f t="array" ref="K952">MID(A952,MAX(IFERROR(FIND({"省","市","区","县"},A952),0))+1,FIND("街道",A952)-MAX(IFERROR(FIND({"省","市","区","县"},A952),0))-1+2)</f>
        <v>三八街道</v>
      </c>
      <c r="M952" s="4" t="str" cm="1">
        <f t="array" ref="M952">MID(A952,MAX(IFERROR(FIND({"省"},A952),0),IFERROR(FIND({"市"},A952),0),IFERROR(FIND({"区"},A952),0),IFERROR(FIND({"县"},A952),0))+1,FIND("街道",A952)-MAX(IFERROR(FIND({"省"},A952),0),IFERROR(FIND({"市"},A952),0),IFERROR(FIND({"区"},A952),0),IFERROR(FIND({"县"},A952),0))-1+2)</f>
        <v>三八街道</v>
      </c>
      <c r="O952" s="4" t="str" cm="1">
        <f t="array" ref="O952">_xlfn.LET(_xlpm.fullText,A952,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52" s="4" t="str" cm="1">
        <f t="array" ref="Q952">_xlfn.LET(_xlpm.fullText,A952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53" ht="36" spans="1:17">
      <c r="A953" s="5" t="s">
        <v>451</v>
      </c>
      <c r="K953" s="4" t="str" cm="1">
        <f t="array" ref="K953">MID(A953,MAX(IFERROR(FIND({"省","市","区","县"},A953),0))+1,FIND("街道",A953)-MAX(IFERROR(FIND({"省","市","区","县"},A953),0))-1+2)</f>
        <v>西关街道</v>
      </c>
      <c r="M953" s="4" t="str" cm="1">
        <f t="array" ref="M953">MID(A953,MAX(IFERROR(FIND({"省"},A953),0),IFERROR(FIND({"市"},A953),0),IFERROR(FIND({"区"},A953),0),IFERROR(FIND({"县"},A953),0))+1,FIND("街道",A953)-MAX(IFERROR(FIND({"省"},A953),0),IFERROR(FIND({"市"},A953),0),IFERROR(FIND({"区"},A953),0),IFERROR(FIND({"县"},A953),0))-1+2)</f>
        <v>西关街道</v>
      </c>
      <c r="O953" s="4" t="str" cm="1">
        <f t="array" ref="O953">_xlfn.LET(_xlpm.fullText,A953,_xlpm.streetPos,FIND("街道",_xlpm.fullText)+2,_xlpm.prefixText,LEFT(_xlpm.fullText,_xlpm.streetPos-1),_xlpm.adminPos,MAX(IFERROR(FIND({"省","市","区","县"},_xlpm.prefixText),0)),IF(_xlpm.adminPos&gt;0,MID(_xlpm.prefixText,_xlpm.adminPos+1,_xlpm.streetPos-_xlpm.adminPos-3+2),LEFT(_xlpm.prefixText,FIND("街道",_xlpm.prefixText)-1+2)))</f>
        <v>西关街道</v>
      </c>
      <c r="Q953" s="4" t="str" cm="1">
        <f t="array" ref="Q953">_xlfn.LET(_xlpm.fullText,A953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西关街道</v>
      </c>
    </row>
    <row r="954" ht="28.8" spans="1:17">
      <c r="A954" s="5" t="s">
        <v>432</v>
      </c>
      <c r="K954" s="4" t="str" cm="1">
        <f t="array" ref="K954">MID(A954,MAX(IFERROR(FIND({"省","市","区","县"},A954),0))+1,FIND("街道",A954)-MAX(IFERROR(FIND({"省","市","区","县"},A954),0))-1+2)</f>
        <v>金山桥街道</v>
      </c>
      <c r="M954" s="4" t="str" cm="1">
        <f t="array" ref="M954">MID(A954,MAX(IFERROR(FIND({"省"},A954),0),IFERROR(FIND({"市"},A954),0),IFERROR(FIND({"区"},A954),0),IFERROR(FIND({"县"},A954),0))+1,FIND("街道",A954)-MAX(IFERROR(FIND({"省"},A954),0),IFERROR(FIND({"市"},A954),0),IFERROR(FIND({"区"},A954),0),IFERROR(FIND({"县"},A954),0))-1+2)</f>
        <v>金山桥街道</v>
      </c>
      <c r="O954" s="4" t="str" cm="1">
        <f t="array" ref="O954">_xlfn.LET(_xlpm.fullText,A954,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4" s="4" t="str" cm="1">
        <f t="array" ref="Q954">_xlfn.LET(_xlpm.fullText,A954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5" ht="36" spans="1:17">
      <c r="A955" s="5" t="s">
        <v>436</v>
      </c>
      <c r="K955" s="4" t="str" cm="1">
        <f t="array" ref="K955">MID(A955,MAX(IFERROR(FIND({"省","市","区","县"},A955),0))+1,FIND("街道",A955)-MAX(IFERROR(FIND({"省","市","区","县"},A955),0))-1+2)</f>
        <v>金山桥街道</v>
      </c>
      <c r="M955" s="4" t="str" cm="1">
        <f t="array" ref="M955">MID(A955,MAX(IFERROR(FIND({"省"},A955),0),IFERROR(FIND({"市"},A955),0),IFERROR(FIND({"区"},A955),0),IFERROR(FIND({"县"},A955),0))+1,FIND("街道",A955)-MAX(IFERROR(FIND({"省"},A955),0),IFERROR(FIND({"市"},A955),0),IFERROR(FIND({"区"},A955),0),IFERROR(FIND({"县"},A955),0))-1+2)</f>
        <v>金山桥街道</v>
      </c>
      <c r="O955" s="4" t="str" cm="1">
        <f t="array" ref="O955">_xlfn.LET(_xlpm.fullText,A955,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5" s="4" t="str" cm="1">
        <f t="array" ref="Q955">_xlfn.LET(_xlpm.fullText,A955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6" ht="28.8" spans="1:17">
      <c r="A956" s="5" t="s">
        <v>432</v>
      </c>
      <c r="K956" s="4" t="str" cm="1">
        <f t="array" ref="K956">MID(A956,MAX(IFERROR(FIND({"省","市","区","县"},A956),0))+1,FIND("街道",A956)-MAX(IFERROR(FIND({"省","市","区","县"},A956),0))-1+2)</f>
        <v>金山桥街道</v>
      </c>
      <c r="M956" s="4" t="str" cm="1">
        <f t="array" ref="M956">MID(A956,MAX(IFERROR(FIND({"省"},A956),0),IFERROR(FIND({"市"},A956),0),IFERROR(FIND({"区"},A956),0),IFERROR(FIND({"县"},A956),0))+1,FIND("街道",A956)-MAX(IFERROR(FIND({"省"},A956),0),IFERROR(FIND({"市"},A956),0),IFERROR(FIND({"区"},A956),0),IFERROR(FIND({"县"},A956),0))-1+2)</f>
        <v>金山桥街道</v>
      </c>
      <c r="O956" s="4" t="str" cm="1">
        <f t="array" ref="O956">_xlfn.LET(_xlpm.fullText,A956,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6" s="4" t="str" cm="1">
        <f t="array" ref="Q956">_xlfn.LET(_xlpm.fullText,A956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7" ht="36" spans="1:17">
      <c r="A957" s="5" t="s">
        <v>436</v>
      </c>
      <c r="K957" s="4" t="str" cm="1">
        <f t="array" ref="K957">MID(A957,MAX(IFERROR(FIND({"省","市","区","县"},A957),0))+1,FIND("街道",A957)-MAX(IFERROR(FIND({"省","市","区","县"},A957),0))-1+2)</f>
        <v>金山桥街道</v>
      </c>
      <c r="M957" s="4" t="str" cm="1">
        <f t="array" ref="M957">MID(A957,MAX(IFERROR(FIND({"省"},A957),0),IFERROR(FIND({"市"},A957),0),IFERROR(FIND({"区"},A957),0),IFERROR(FIND({"县"},A957),0))+1,FIND("街道",A957)-MAX(IFERROR(FIND({"省"},A957),0),IFERROR(FIND({"市"},A957),0),IFERROR(FIND({"区"},A957),0),IFERROR(FIND({"县"},A957),0))-1+2)</f>
        <v>金山桥街道</v>
      </c>
      <c r="O957" s="4" t="str" cm="1">
        <f t="array" ref="O957">_xlfn.LET(_xlpm.fullText,A957,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7" s="4" t="str" cm="1">
        <f t="array" ref="Q957">_xlfn.LET(_xlpm.fullText,A957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8" ht="36" spans="1:17">
      <c r="A958" s="5" t="s">
        <v>436</v>
      </c>
      <c r="K958" s="4" t="str" cm="1">
        <f t="array" ref="K958">MID(A958,MAX(IFERROR(FIND({"省","市","区","县"},A958),0))+1,FIND("街道",A958)-MAX(IFERROR(FIND({"省","市","区","县"},A958),0))-1+2)</f>
        <v>金山桥街道</v>
      </c>
      <c r="M958" s="4" t="str" cm="1">
        <f t="array" ref="M958">MID(A958,MAX(IFERROR(FIND({"省"},A958),0),IFERROR(FIND({"市"},A958),0),IFERROR(FIND({"区"},A958),0),IFERROR(FIND({"县"},A958),0))+1,FIND("街道",A958)-MAX(IFERROR(FIND({"省"},A958),0),IFERROR(FIND({"市"},A958),0),IFERROR(FIND({"区"},A958),0),IFERROR(FIND({"县"},A958),0))-1+2)</f>
        <v>金山桥街道</v>
      </c>
      <c r="O958" s="4" t="str" cm="1">
        <f t="array" ref="O958">_xlfn.LET(_xlpm.fullText,A958,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8" s="4" t="str" cm="1">
        <f t="array" ref="Q958">_xlfn.LET(_xlpm.fullText,A958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59" ht="28.8" spans="1:17">
      <c r="A959" s="5" t="s">
        <v>432</v>
      </c>
      <c r="K959" s="4" t="str" cm="1">
        <f t="array" ref="K959">MID(A959,MAX(IFERROR(FIND({"省","市","区","县"},A959),0))+1,FIND("街道",A959)-MAX(IFERROR(FIND({"省","市","区","县"},A959),0))-1+2)</f>
        <v>金山桥街道</v>
      </c>
      <c r="M959" s="4" t="str" cm="1">
        <f t="array" ref="M959">MID(A959,MAX(IFERROR(FIND({"省"},A959),0),IFERROR(FIND({"市"},A959),0),IFERROR(FIND({"区"},A959),0),IFERROR(FIND({"县"},A959),0))+1,FIND("街道",A959)-MAX(IFERROR(FIND({"省"},A959),0),IFERROR(FIND({"市"},A959),0),IFERROR(FIND({"区"},A959),0),IFERROR(FIND({"县"},A959),0))-1+2)</f>
        <v>金山桥街道</v>
      </c>
      <c r="O959" s="4" t="str" cm="1">
        <f t="array" ref="O959">_xlfn.LET(_xlpm.fullText,A959,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59" s="4" t="str" cm="1">
        <f t="array" ref="Q959">_xlfn.LET(_xlpm.fullText,A959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60" ht="28.8" spans="1:17">
      <c r="A960" s="5" t="s">
        <v>432</v>
      </c>
      <c r="K960" s="4" t="str" cm="1">
        <f t="array" ref="K960">MID(A960,MAX(IFERROR(FIND({"省","市","区","县"},A960),0))+1,FIND("街道",A960)-MAX(IFERROR(FIND({"省","市","区","县"},A960),0))-1+2)</f>
        <v>金山桥街道</v>
      </c>
      <c r="M960" s="4" t="str" cm="1">
        <f t="array" ref="M960">MID(A960,MAX(IFERROR(FIND({"省"},A960),0),IFERROR(FIND({"市"},A960),0),IFERROR(FIND({"区"},A960),0),IFERROR(FIND({"县"},A960),0))+1,FIND("街道",A960)-MAX(IFERROR(FIND({"省"},A960),0),IFERROR(FIND({"市"},A960),0),IFERROR(FIND({"区"},A960),0),IFERROR(FIND({"县"},A960),0))-1+2)</f>
        <v>金山桥街道</v>
      </c>
      <c r="O960" s="4" t="str" cm="1">
        <f t="array" ref="O960">_xlfn.LET(_xlpm.fullText,A960,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60" s="4" t="str" cm="1">
        <f t="array" ref="Q960">_xlfn.LET(_xlpm.fullText,A960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61" ht="36" spans="1:17">
      <c r="A961" s="5" t="s">
        <v>422</v>
      </c>
      <c r="K961" s="4" t="str" cm="1">
        <f t="array" ref="K961">MID(A961,MAX(IFERROR(FIND({"省","市","区","县"},A961),0))+1,FIND("街道",A961)-MAX(IFERROR(FIND({"省","市","区","县"},A961),0))-1+2)</f>
        <v>金山桥街道</v>
      </c>
      <c r="M961" s="4" t="str" cm="1">
        <f t="array" ref="M961">MID(A961,MAX(IFERROR(FIND({"省"},A961),0),IFERROR(FIND({"市"},A961),0),IFERROR(FIND({"区"},A961),0),IFERROR(FIND({"县"},A961),0))+1,FIND("街道",A961)-MAX(IFERROR(FIND({"省"},A961),0),IFERROR(FIND({"市"},A961),0),IFERROR(FIND({"区"},A961),0),IFERROR(FIND({"县"},A961),0))-1+2)</f>
        <v>金山桥街道</v>
      </c>
      <c r="O961" s="4" t="str" cm="1">
        <f t="array" ref="O961">_xlfn.LET(_xlpm.fullText,A961,_xlpm.streetPos,FIND("街道",_xlpm.fullText)+2,_xlpm.prefixText,LEFT(_xlpm.fullText,_xlpm.streetPos-1),_xlpm.adminPos,MAX(IFERROR(FIND({"省","市","区","县"},_xlpm.prefixText),0)),IF(_xlpm.adminPos&gt;0,MID(_xlpm.prefixText,_xlpm.adminPos+1,_xlpm.streetPos-_xlpm.adminPos-3+2),LEFT(_xlpm.prefixText,FIND("街道",_xlpm.prefixText)-1+2)))</f>
        <v>金山桥街道</v>
      </c>
      <c r="Q961" s="4" t="str" cm="1">
        <f t="array" ref="Q961">_xlfn.LET(_xlpm.fullText,A961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金山桥街道</v>
      </c>
    </row>
    <row r="962" ht="36" spans="1:17">
      <c r="A962" s="5" t="s">
        <v>452</v>
      </c>
      <c r="K962" s="4" t="str" cm="1">
        <f t="array" ref="K962">MID(A962,MAX(IFERROR(FIND({"省","市","区","县"},A962),0))+1,FIND("街道",A962)-MAX(IFERROR(FIND({"省","市","区","县"},A962),0))-1+2)</f>
        <v>埇桥街道</v>
      </c>
      <c r="M962" s="4" t="str" cm="1">
        <f t="array" ref="M962">MID(A962,MAX(IFERROR(FIND({"省"},A962),0),IFERROR(FIND({"市"},A962),0),IFERROR(FIND({"区"},A962),0),IFERROR(FIND({"县"},A962),0))+1,FIND("街道",A962)-MAX(IFERROR(FIND({"省"},A962),0),IFERROR(FIND({"市"},A962),0),IFERROR(FIND({"区"},A962),0),IFERROR(FIND({"县"},A962),0))-1+2)</f>
        <v>埇桥街道</v>
      </c>
      <c r="O962" s="4" t="str" cm="1">
        <f t="array" ref="O962">_xlfn.LET(_xlpm.fullText,A962,_xlpm.streetPos,FIND("街道",_xlpm.fullText)+2,_xlpm.prefixText,LEFT(_xlpm.fullText,_xlpm.streetPos-1),_xlpm.adminPos,MAX(IFERROR(FIND({"省","市","区","县"},_xlpm.prefixText),0)),IF(_xlpm.adminPos&gt;0,MID(_xlpm.prefixText,_xlpm.adminPos+1,_xlpm.streetPos-_xlpm.adminPos-3+2),LEFT(_xlpm.prefixText,FIND("街道",_xlpm.prefixText)-1+2)))</f>
        <v>埇桥街道</v>
      </c>
      <c r="Q962" s="4" t="str" cm="1">
        <f t="array" ref="Q962">_xlfn.LET(_xlpm.fullText,A962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埇桥街道</v>
      </c>
    </row>
    <row r="963" ht="36" spans="1:17">
      <c r="A963" s="5" t="s">
        <v>453</v>
      </c>
      <c r="K963" s="4" t="str" cm="1">
        <f t="array" ref="K963">MID(A963,MAX(IFERROR(FIND({"省","市","区","县"},A963),0))+1,FIND("街道",A963)-MAX(IFERROR(FIND({"省","市","区","县"},A963),0))-1+2)</f>
        <v>铜山街道</v>
      </c>
      <c r="M963" s="4" t="str" cm="1">
        <f t="array" ref="M963">MID(A963,MAX(IFERROR(FIND({"省"},A963),0),IFERROR(FIND({"市"},A963),0),IFERROR(FIND({"区"},A963),0),IFERROR(FIND({"县"},A963),0))+1,FIND("街道",A963)-MAX(IFERROR(FIND({"省"},A963),0),IFERROR(FIND({"市"},A963),0),IFERROR(FIND({"区"},A963),0),IFERROR(FIND({"县"},A963),0))-1+2)</f>
        <v>铜山街道</v>
      </c>
      <c r="O963" s="4" t="str" cm="1">
        <f t="array" ref="O963">_xlfn.LET(_xlpm.fullText,A963,_xlpm.streetPos,FIND("街道",_xlpm.fullText)+2,_xlpm.prefixText,LEFT(_xlpm.fullText,_xlpm.streetPos-1),_xlpm.adminPos,MAX(IFERROR(FIND({"省","市","区","县"},_xlpm.prefixText),0)),IF(_xlpm.adminPos&gt;0,MID(_xlpm.prefixText,_xlpm.adminPos+1,_xlpm.streetPos-_xlpm.adminPos-3+2),LEFT(_xlpm.prefixText,FIND("街道",_xlpm.prefixText)-1+2)))</f>
        <v>铜山街道</v>
      </c>
      <c r="Q963" s="4" t="str" cm="1">
        <f t="array" ref="Q963">_xlfn.LET(_xlpm.fullText,A963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铜山街道</v>
      </c>
    </row>
    <row r="964" ht="36" spans="1:17">
      <c r="A964" s="5" t="s">
        <v>453</v>
      </c>
      <c r="K964" s="4" t="str" cm="1">
        <f t="array" ref="K964">MID(A964,MAX(IFERROR(FIND({"省","市","区","县"},A964),0))+1,FIND("街道",A964)-MAX(IFERROR(FIND({"省","市","区","县"},A964),0))-1+2)</f>
        <v>铜山街道</v>
      </c>
      <c r="M964" s="4" t="str" cm="1">
        <f t="array" ref="M964">MID(A964,MAX(IFERROR(FIND({"省"},A964),0),IFERROR(FIND({"市"},A964),0),IFERROR(FIND({"区"},A964),0),IFERROR(FIND({"县"},A964),0))+1,FIND("街道",A964)-MAX(IFERROR(FIND({"省"},A964),0),IFERROR(FIND({"市"},A964),0),IFERROR(FIND({"区"},A964),0),IFERROR(FIND({"县"},A964),0))-1+2)</f>
        <v>铜山街道</v>
      </c>
      <c r="O964" s="4" t="str" cm="1">
        <f t="array" ref="O964">_xlfn.LET(_xlpm.fullText,A964,_xlpm.streetPos,FIND("街道",_xlpm.fullText)+2,_xlpm.prefixText,LEFT(_xlpm.fullText,_xlpm.streetPos-1),_xlpm.adminPos,MAX(IFERROR(FIND({"省","市","区","县"},_xlpm.prefixText),0)),IF(_xlpm.adminPos&gt;0,MID(_xlpm.prefixText,_xlpm.adminPos+1,_xlpm.streetPos-_xlpm.adminPos-3+2),LEFT(_xlpm.prefixText,FIND("街道",_xlpm.prefixText)-1+2)))</f>
        <v>铜山街道</v>
      </c>
      <c r="Q964" s="4" t="str" cm="1">
        <f t="array" ref="Q964">_xlfn.LET(_xlpm.fullText,A964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铜山街道</v>
      </c>
    </row>
    <row r="965" ht="36" spans="1:17">
      <c r="A965" s="5" t="s">
        <v>329</v>
      </c>
      <c r="K965" s="4" t="str" cm="1">
        <f t="array" ref="K965">MID(A965,MAX(IFERROR(FIND({"省","市","区","县"},A965),0))+1,FIND("街道",A965)-MAX(IFERROR(FIND({"省","市","区","县"},A965),0))-1+2)</f>
        <v>三水街道</v>
      </c>
      <c r="M965" s="4" t="str" cm="1">
        <f t="array" ref="M965">MID(A965,MAX(IFERROR(FIND({"省"},A965),0),IFERROR(FIND({"市"},A965),0),IFERROR(FIND({"区"},A965),0),IFERROR(FIND({"县"},A965),0))+1,FIND("街道",A965)-MAX(IFERROR(FIND({"省"},A965),0),IFERROR(FIND({"市"},A965),0),IFERROR(FIND({"区"},A965),0),IFERROR(FIND({"县"},A965),0))-1+2)</f>
        <v>三水街道</v>
      </c>
      <c r="O965" s="4" t="str" cm="1">
        <f t="array" ref="O965">_xlfn.LET(_xlpm.fullText,A965,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965" s="4" t="str" cm="1">
        <f t="array" ref="Q965">_xlfn.LET(_xlpm.fullText,A965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966" ht="36" spans="1:17">
      <c r="A966" s="5" t="s">
        <v>454</v>
      </c>
      <c r="K966" s="4" t="str" cm="1">
        <f t="array" ref="K966">MID(A966,MAX(IFERROR(FIND({"省","市","区","县"},A966),0))+1,FIND("街道",A966)-MAX(IFERROR(FIND({"省","市","区","县"},A966),0))-1+2)</f>
        <v>中兴街道</v>
      </c>
      <c r="M966" s="4" t="str" cm="1">
        <f t="array" ref="M966">MID(A966,MAX(IFERROR(FIND({"省"},A966),0),IFERROR(FIND({"市"},A966),0),IFERROR(FIND({"区"},A966),0),IFERROR(FIND({"县"},A966),0))+1,FIND("街道",A966)-MAX(IFERROR(FIND({"省"},A966),0),IFERROR(FIND({"市"},A966),0),IFERROR(FIND({"区"},A966),0),IFERROR(FIND({"县"},A966),0))-1+2)</f>
        <v>中兴街道</v>
      </c>
      <c r="O966" s="4" t="str" cm="1">
        <f t="array" ref="O966">_xlfn.LET(_xlpm.fullText,A966,_xlpm.streetPos,FIND("街道",_xlpm.fullText)+2,_xlpm.prefixText,LEFT(_xlpm.fullText,_xlpm.streetPos-1),_xlpm.adminPos,MAX(IFERROR(FIND({"省","市","区","县"},_xlpm.prefixText),0)),IF(_xlpm.adminPos&gt;0,MID(_xlpm.prefixText,_xlpm.adminPos+1,_xlpm.streetPos-_xlpm.adminPos-3+2),LEFT(_xlpm.prefixText,FIND("街道",_xlpm.prefixText)-1+2)))</f>
        <v>中兴街道</v>
      </c>
      <c r="Q966" s="4" t="str" cm="1">
        <f t="array" ref="Q966">_xlfn.LET(_xlpm.fullText,A966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中兴街道</v>
      </c>
    </row>
    <row r="967" ht="36" spans="1:17">
      <c r="A967" s="5" t="s">
        <v>455</v>
      </c>
      <c r="K967" s="4" t="str" cm="1">
        <f t="array" ref="K967">MID(A967,MAX(IFERROR(FIND({"省","市","区","县"},A967),0))+1,FIND("街道",A967)-MAX(IFERROR(FIND({"省","市","区","县"},A967),0))-1+2)</f>
        <v>三八街道</v>
      </c>
      <c r="M967" s="4" t="str" cm="1">
        <f t="array" ref="M967">MID(A967,MAX(IFERROR(FIND({"省"},A967),0),IFERROR(FIND({"市"},A967),0),IFERROR(FIND({"区"},A967),0),IFERROR(FIND({"县"},A967),0))+1,FIND("街道",A967)-MAX(IFERROR(FIND({"省"},A967),0),IFERROR(FIND({"市"},A967),0),IFERROR(FIND({"区"},A967),0),IFERROR(FIND({"县"},A967),0))-1+2)</f>
        <v>三八街道</v>
      </c>
      <c r="O967" s="4" t="str" cm="1">
        <f t="array" ref="O967">_xlfn.LET(_xlpm.fullText,A967,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67" s="4" t="str" cm="1">
        <f t="array" ref="Q967">_xlfn.LET(_xlpm.fullText,A967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68" ht="24" spans="1:17">
      <c r="A968" s="5" t="s">
        <v>456</v>
      </c>
      <c r="K968" s="4" t="str" cm="1">
        <f t="array" ref="K968">MID(A968,MAX(IFERROR(FIND({"省","市","区","县"},A968),0))+1,FIND("街道",A968)-MAX(IFERROR(FIND({"省","市","区","县"},A968),0))-1+2)</f>
        <v>火花街道</v>
      </c>
      <c r="M968" s="4" t="str" cm="1">
        <f t="array" ref="M968">MID(A968,MAX(IFERROR(FIND({"省"},A968),0),IFERROR(FIND({"市"},A968),0),IFERROR(FIND({"区"},A968),0),IFERROR(FIND({"县"},A968),0))+1,FIND("街道",A968)-MAX(IFERROR(FIND({"省"},A968),0),IFERROR(FIND({"市"},A968),0),IFERROR(FIND({"区"},A968),0),IFERROR(FIND({"县"},A968),0))-1+2)</f>
        <v>火花街道</v>
      </c>
      <c r="O968" s="4" t="str" cm="1">
        <f t="array" ref="O968">_xlfn.LET(_xlpm.fullText,A968,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68" s="4" t="str" cm="1">
        <f t="array" ref="Q968">_xlfn.LET(_xlpm.fullText,A968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69" ht="24" spans="1:17">
      <c r="A969" s="5" t="s">
        <v>456</v>
      </c>
      <c r="K969" s="4" t="str" cm="1">
        <f t="array" ref="K969">MID(A969,MAX(IFERROR(FIND({"省","市","区","县"},A969),0))+1,FIND("街道",A969)-MAX(IFERROR(FIND({"省","市","区","县"},A969),0))-1+2)</f>
        <v>火花街道</v>
      </c>
      <c r="M969" s="4" t="str" cm="1">
        <f t="array" ref="M969">MID(A969,MAX(IFERROR(FIND({"省"},A969),0),IFERROR(FIND({"市"},A969),0),IFERROR(FIND({"区"},A969),0),IFERROR(FIND({"县"},A969),0))+1,FIND("街道",A969)-MAX(IFERROR(FIND({"省"},A969),0),IFERROR(FIND({"市"},A969),0),IFERROR(FIND({"区"},A969),0),IFERROR(FIND({"县"},A969),0))-1+2)</f>
        <v>火花街道</v>
      </c>
      <c r="O969" s="4" t="str" cm="1">
        <f t="array" ref="O969">_xlfn.LET(_xlpm.fullText,A969,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69" s="4" t="str" cm="1">
        <f t="array" ref="Q969">_xlfn.LET(_xlpm.fullText,A969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70" ht="36" spans="1:17">
      <c r="A970" s="5" t="s">
        <v>329</v>
      </c>
      <c r="K970" s="4" t="str" cm="1">
        <f t="array" ref="K970">MID(A970,MAX(IFERROR(FIND({"省","市","区","县"},A970),0))+1,FIND("街道",A970)-MAX(IFERROR(FIND({"省","市","区","县"},A970),0))-1+2)</f>
        <v>三水街道</v>
      </c>
      <c r="M970" s="4" t="str" cm="1">
        <f t="array" ref="M970">MID(A970,MAX(IFERROR(FIND({"省"},A970),0),IFERROR(FIND({"市"},A970),0),IFERROR(FIND({"区"},A970),0),IFERROR(FIND({"县"},A970),0))+1,FIND("街道",A970)-MAX(IFERROR(FIND({"省"},A970),0),IFERROR(FIND({"市"},A970),0),IFERROR(FIND({"区"},A970),0),IFERROR(FIND({"县"},A970),0))-1+2)</f>
        <v>三水街道</v>
      </c>
      <c r="O970" s="4" t="str" cm="1">
        <f t="array" ref="O970">_xlfn.LET(_xlpm.fullText,A970,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970" s="4" t="str" cm="1">
        <f t="array" ref="Q970">_xlfn.LET(_xlpm.fullText,A970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971" ht="36" spans="1:17">
      <c r="A971" s="5" t="s">
        <v>457</v>
      </c>
      <c r="K971" s="4" t="str" cm="1">
        <f t="array" ref="K971">MID(A971,MAX(IFERROR(FIND({"省","市","区","县"},A971),0))+1,FIND("街道",A971)-MAX(IFERROR(FIND({"省","市","区","县"},A971),0))-1+2)</f>
        <v>燕子矶街道</v>
      </c>
      <c r="M971" s="4" t="str" cm="1">
        <f t="array" ref="M971">MID(A971,MAX(IFERROR(FIND({"省"},A971),0),IFERROR(FIND({"市"},A971),0),IFERROR(FIND({"区"},A971),0),IFERROR(FIND({"县"},A971),0))+1,FIND("街道",A971)-MAX(IFERROR(FIND({"省"},A971),0),IFERROR(FIND({"市"},A971),0),IFERROR(FIND({"区"},A971),0),IFERROR(FIND({"县"},A971),0))-1+2)</f>
        <v>燕子矶街道</v>
      </c>
      <c r="O971" s="4" t="str" cm="1">
        <f t="array" ref="O971">_xlfn.LET(_xlpm.fullText,A971,_xlpm.streetPos,FIND("街道",_xlpm.fullText)+2,_xlpm.prefixText,LEFT(_xlpm.fullText,_xlpm.streetPos-1),_xlpm.adminPos,MAX(IFERROR(FIND({"省","市","区","县"},_xlpm.prefixText),0)),IF(_xlpm.adminPos&gt;0,MID(_xlpm.prefixText,_xlpm.adminPos+1,_xlpm.streetPos-_xlpm.adminPos-3+2),LEFT(_xlpm.prefixText,FIND("街道",_xlpm.prefixText)-1+2)))</f>
        <v>燕子矶街道</v>
      </c>
      <c r="Q971" s="4" t="str" cm="1">
        <f t="array" ref="Q971">_xlfn.LET(_xlpm.fullText,A971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燕子矶街道</v>
      </c>
    </row>
    <row r="972" ht="36" spans="1:17">
      <c r="A972" s="5" t="s">
        <v>455</v>
      </c>
      <c r="K972" s="4" t="str" cm="1">
        <f t="array" ref="K972">MID(A972,MAX(IFERROR(FIND({"省","市","区","县"},A972),0))+1,FIND("街道",A972)-MAX(IFERROR(FIND({"省","市","区","县"},A972),0))-1+2)</f>
        <v>三八街道</v>
      </c>
      <c r="M972" s="4" t="str" cm="1">
        <f t="array" ref="M972">MID(A972,MAX(IFERROR(FIND({"省"},A972),0),IFERROR(FIND({"市"},A972),0),IFERROR(FIND({"区"},A972),0),IFERROR(FIND({"县"},A972),0))+1,FIND("街道",A972)-MAX(IFERROR(FIND({"省"},A972),0),IFERROR(FIND({"市"},A972),0),IFERROR(FIND({"区"},A972),0),IFERROR(FIND({"县"},A972),0))-1+2)</f>
        <v>三八街道</v>
      </c>
      <c r="O972" s="4" t="str" cm="1">
        <f t="array" ref="O972">_xlfn.LET(_xlpm.fullText,A972,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972" s="4" t="str" cm="1">
        <f t="array" ref="Q972">_xlfn.LET(_xlpm.fullText,A972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973" ht="24" spans="1:17">
      <c r="A973" s="5" t="s">
        <v>456</v>
      </c>
      <c r="K973" s="4" t="str" cm="1">
        <f t="array" ref="K973">MID(A973,MAX(IFERROR(FIND({"省","市","区","县"},A973),0))+1,FIND("街道",A973)-MAX(IFERROR(FIND({"省","市","区","县"},A973),0))-1+2)</f>
        <v>火花街道</v>
      </c>
      <c r="M973" s="4" t="str" cm="1">
        <f t="array" ref="M973">MID(A973,MAX(IFERROR(FIND({"省"},A973),0),IFERROR(FIND({"市"},A973),0),IFERROR(FIND({"区"},A973),0),IFERROR(FIND({"县"},A973),0))+1,FIND("街道",A973)-MAX(IFERROR(FIND({"省"},A973),0),IFERROR(FIND({"市"},A973),0),IFERROR(FIND({"区"},A973),0),IFERROR(FIND({"县"},A973),0))-1+2)</f>
        <v>火花街道</v>
      </c>
      <c r="O973" s="4" t="str" cm="1">
        <f t="array" ref="O973">_xlfn.LET(_xlpm.fullText,A973,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73" s="4" t="str" cm="1">
        <f t="array" ref="Q973">_xlfn.LET(_xlpm.fullText,A973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74" ht="36" spans="1:17">
      <c r="A974" s="5" t="s">
        <v>458</v>
      </c>
      <c r="K974" s="4" t="str" cm="1">
        <f t="array" ref="K974">MID(A974,MAX(IFERROR(FIND({"省","市","区","县"},A974),0))+1,FIND("街道",A974)-MAX(IFERROR(FIND({"省","市","区","县"},A974),0))-1+2)</f>
        <v>金龙湖街道</v>
      </c>
      <c r="M974" s="4" t="str" cm="1">
        <f t="array" ref="M974">MID(A974,MAX(IFERROR(FIND({"省"},A974),0),IFERROR(FIND({"市"},A974),0),IFERROR(FIND({"区"},A974),0),IFERROR(FIND({"县"},A974),0))+1,FIND("街道",A974)-MAX(IFERROR(FIND({"省"},A974),0),IFERROR(FIND({"市"},A974),0),IFERROR(FIND({"区"},A974),0),IFERROR(FIND({"县"},A974),0))-1+2)</f>
        <v>金龙湖街道</v>
      </c>
      <c r="O974" s="4" t="str" cm="1">
        <f t="array" ref="O974">_xlfn.LET(_xlpm.fullText,A974,_xlpm.streetPos,FIND("街道",_xlpm.fullText)+2,_xlpm.prefixText,LEFT(_xlpm.fullText,_xlpm.streetPos-1),_xlpm.adminPos,MAX(IFERROR(FIND({"省","市","区","县"},_xlpm.prefixText),0)),IF(_xlpm.adminPos&gt;0,MID(_xlpm.prefixText,_xlpm.adminPos+1,_xlpm.streetPos-_xlpm.adminPos-3+2),LEFT(_xlpm.prefixText,FIND("街道",_xlpm.prefixText)-1+2)))</f>
        <v>金龙湖街道</v>
      </c>
      <c r="Q974" s="4" t="str" cm="1">
        <f t="array" ref="Q974">_xlfn.LET(_xlpm.fullText,A974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金龙湖街道</v>
      </c>
    </row>
    <row r="975" ht="24" spans="1:17">
      <c r="A975" s="5" t="s">
        <v>456</v>
      </c>
      <c r="K975" s="4" t="str" cm="1">
        <f t="array" ref="K975">MID(A975,MAX(IFERROR(FIND({"省","市","区","县"},A975),0))+1,FIND("街道",A975)-MAX(IFERROR(FIND({"省","市","区","县"},A975),0))-1+2)</f>
        <v>火花街道</v>
      </c>
      <c r="M975" s="4" t="str" cm="1">
        <f t="array" ref="M975">MID(A975,MAX(IFERROR(FIND({"省"},A975),0),IFERROR(FIND({"市"},A975),0),IFERROR(FIND({"区"},A975),0),IFERROR(FIND({"县"},A975),0))+1,FIND("街道",A975)-MAX(IFERROR(FIND({"省"},A975),0),IFERROR(FIND({"市"},A975),0),IFERROR(FIND({"区"},A975),0),IFERROR(FIND({"县"},A975),0))-1+2)</f>
        <v>火花街道</v>
      </c>
      <c r="O975" s="4" t="str" cm="1">
        <f t="array" ref="O975">_xlfn.LET(_xlpm.fullText,A975,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75" s="4" t="str" cm="1">
        <f t="array" ref="Q975">_xlfn.LET(_xlpm.fullText,A975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76" ht="24" spans="1:17">
      <c r="A976" s="5" t="s">
        <v>456</v>
      </c>
      <c r="K976" s="4" t="str" cm="1">
        <f t="array" ref="K976">MID(A976,MAX(IFERROR(FIND({"省","市","区","县"},A976),0))+1,FIND("街道",A976)-MAX(IFERROR(FIND({"省","市","区","县"},A976),0))-1+2)</f>
        <v>火花街道</v>
      </c>
      <c r="M976" s="4" t="str" cm="1">
        <f t="array" ref="M976">MID(A976,MAX(IFERROR(FIND({"省"},A976),0),IFERROR(FIND({"市"},A976),0),IFERROR(FIND({"区"},A976),0),IFERROR(FIND({"县"},A976),0))+1,FIND("街道",A976)-MAX(IFERROR(FIND({"省"},A976),0),IFERROR(FIND({"市"},A976),0),IFERROR(FIND({"区"},A976),0),IFERROR(FIND({"县"},A976),0))-1+2)</f>
        <v>火花街道</v>
      </c>
      <c r="O976" s="4" t="str" cm="1">
        <f t="array" ref="O976">_xlfn.LET(_xlpm.fullText,A976,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76" s="4" t="str" cm="1">
        <f t="array" ref="Q976">_xlfn.LET(_xlpm.fullText,A976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77" ht="24" spans="1:17">
      <c r="A977" s="5" t="s">
        <v>456</v>
      </c>
      <c r="K977" s="4" t="str" cm="1">
        <f t="array" ref="K977">MID(A977,MAX(IFERROR(FIND({"省","市","区","县"},A977),0))+1,FIND("街道",A977)-MAX(IFERROR(FIND({"省","市","区","县"},A977),0))-1+2)</f>
        <v>火花街道</v>
      </c>
      <c r="M977" s="4" t="str" cm="1">
        <f t="array" ref="M977">MID(A977,MAX(IFERROR(FIND({"省"},A977),0),IFERROR(FIND({"市"},A977),0),IFERROR(FIND({"区"},A977),0),IFERROR(FIND({"县"},A977),0))+1,FIND("街道",A977)-MAX(IFERROR(FIND({"省"},A977),0),IFERROR(FIND({"市"},A977),0),IFERROR(FIND({"区"},A977),0),IFERROR(FIND({"县"},A977),0))-1+2)</f>
        <v>火花街道</v>
      </c>
      <c r="O977" s="4" t="str" cm="1">
        <f t="array" ref="O977">_xlfn.LET(_xlpm.fullText,A977,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77" s="4" t="str" cm="1">
        <f t="array" ref="Q977">_xlfn.LET(_xlpm.fullText,A977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78" ht="24" spans="1:17">
      <c r="A978" s="5" t="s">
        <v>456</v>
      </c>
      <c r="K978" s="4" t="str" cm="1">
        <f t="array" ref="K978">MID(A978,MAX(IFERROR(FIND({"省","市","区","县"},A978),0))+1,FIND("街道",A978)-MAX(IFERROR(FIND({"省","市","区","县"},A978),0))-1+2)</f>
        <v>火花街道</v>
      </c>
      <c r="M978" s="4" t="str" cm="1">
        <f t="array" ref="M978">MID(A978,MAX(IFERROR(FIND({"省"},A978),0),IFERROR(FIND({"市"},A978),0),IFERROR(FIND({"区"},A978),0),IFERROR(FIND({"县"},A978),0))+1,FIND("街道",A978)-MAX(IFERROR(FIND({"省"},A978),0),IFERROR(FIND({"市"},A978),0),IFERROR(FIND({"区"},A978),0),IFERROR(FIND({"县"},A978),0))-1+2)</f>
        <v>火花街道</v>
      </c>
      <c r="O978" s="4" t="str" cm="1">
        <f t="array" ref="O978">_xlfn.LET(_xlpm.fullText,A978,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78" s="4" t="str" cm="1">
        <f t="array" ref="Q978">_xlfn.LET(_xlpm.fullText,A978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79" ht="24" spans="1:17">
      <c r="A979" s="5" t="s">
        <v>456</v>
      </c>
      <c r="K979" s="4" t="str" cm="1">
        <f t="array" ref="K979">MID(A979,MAX(IFERROR(FIND({"省","市","区","县"},A979),0))+1,FIND("街道",A979)-MAX(IFERROR(FIND({"省","市","区","县"},A979),0))-1+2)</f>
        <v>火花街道</v>
      </c>
      <c r="M979" s="4" t="str" cm="1">
        <f t="array" ref="M979">MID(A979,MAX(IFERROR(FIND({"省"},A979),0),IFERROR(FIND({"市"},A979),0),IFERROR(FIND({"区"},A979),0),IFERROR(FIND({"县"},A979),0))+1,FIND("街道",A979)-MAX(IFERROR(FIND({"省"},A979),0),IFERROR(FIND({"市"},A979),0),IFERROR(FIND({"区"},A979),0),IFERROR(FIND({"县"},A979),0))-1+2)</f>
        <v>火花街道</v>
      </c>
      <c r="O979" s="4" t="str" cm="1">
        <f t="array" ref="O979">_xlfn.LET(_xlpm.fullText,A979,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79" s="4" t="str" cm="1">
        <f t="array" ref="Q979">_xlfn.LET(_xlpm.fullText,A979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80" ht="24" spans="1:17">
      <c r="A980" s="5" t="s">
        <v>456</v>
      </c>
      <c r="K980" s="4" t="str" cm="1">
        <f t="array" ref="K980">MID(A980,MAX(IFERROR(FIND({"省","市","区","县"},A980),0))+1,FIND("街道",A980)-MAX(IFERROR(FIND({"省","市","区","县"},A980),0))-1+2)</f>
        <v>火花街道</v>
      </c>
      <c r="M980" s="4" t="str" cm="1">
        <f t="array" ref="M980">MID(A980,MAX(IFERROR(FIND({"省"},A980),0),IFERROR(FIND({"市"},A980),0),IFERROR(FIND({"区"},A980),0),IFERROR(FIND({"县"},A980),0))+1,FIND("街道",A980)-MAX(IFERROR(FIND({"省"},A980),0),IFERROR(FIND({"市"},A980),0),IFERROR(FIND({"区"},A980),0),IFERROR(FIND({"县"},A980),0))-1+2)</f>
        <v>火花街道</v>
      </c>
      <c r="O980" s="4" t="str" cm="1">
        <f t="array" ref="O980">_xlfn.LET(_xlpm.fullText,A980,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80" s="4" t="str" cm="1">
        <f t="array" ref="Q980">_xlfn.LET(_xlpm.fullText,A980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81" ht="24" spans="1:17">
      <c r="A981" s="5" t="s">
        <v>456</v>
      </c>
      <c r="K981" s="4" t="str" cm="1">
        <f t="array" ref="K981">MID(A981,MAX(IFERROR(FIND({"省","市","区","县"},A981),0))+1,FIND("街道",A981)-MAX(IFERROR(FIND({"省","市","区","县"},A981),0))-1+2)</f>
        <v>火花街道</v>
      </c>
      <c r="M981" s="4" t="str" cm="1">
        <f t="array" ref="M981">MID(A981,MAX(IFERROR(FIND({"省"},A981),0),IFERROR(FIND({"市"},A981),0),IFERROR(FIND({"区"},A981),0),IFERROR(FIND({"县"},A981),0))+1,FIND("街道",A981)-MAX(IFERROR(FIND({"省"},A981),0),IFERROR(FIND({"市"},A981),0),IFERROR(FIND({"区"},A981),0),IFERROR(FIND({"县"},A981),0))-1+2)</f>
        <v>火花街道</v>
      </c>
      <c r="O981" s="4" t="str" cm="1">
        <f t="array" ref="O981">_xlfn.LET(_xlpm.fullText,A981,_xlpm.streetPos,FIND("街道",_xlpm.fullText)+2,_xlpm.prefixText,LEFT(_xlpm.fullText,_xlpm.streetPos-1),_xlpm.adminPos,MAX(IFERROR(FIND({"省","市","区","县"},_xlpm.prefixText),0)),IF(_xlpm.adminPos&gt;0,MID(_xlpm.prefixText,_xlpm.adminPos+1,_xlpm.streetPos-_xlpm.adminPos-3+2),LEFT(_xlpm.prefixText,FIND("街道",_xlpm.prefixText)-1+2)))</f>
        <v>火花街道</v>
      </c>
      <c r="Q981" s="4" t="str" cm="1">
        <f t="array" ref="Q981">_xlfn.LET(_xlpm.fullText,A981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火花街道</v>
      </c>
    </row>
    <row r="982" ht="36" spans="1:17">
      <c r="A982" s="5" t="s">
        <v>7</v>
      </c>
      <c r="K982" s="4" t="str" cm="1">
        <f t="array" ref="K982">MID(A982,MAX(IFERROR(FIND({"省","市","区","县"},A982),0))+1,FIND("街道",A982)-MAX(IFERROR(FIND({"省","市","区","县"},A982),0))-1+2)</f>
        <v>泰山街道</v>
      </c>
      <c r="M982" s="4" t="str" cm="1">
        <f t="array" ref="M982">MID(A982,MAX(IFERROR(FIND({"省"},A982),0),IFERROR(FIND({"市"},A982),0),IFERROR(FIND({"区"},A982),0),IFERROR(FIND({"县"},A982),0))+1,FIND("街道",A982)-MAX(IFERROR(FIND({"省"},A982),0),IFERROR(FIND({"市"},A982),0),IFERROR(FIND({"区"},A982),0),IFERROR(FIND({"县"},A982),0))-1+2)</f>
        <v>泰山街道</v>
      </c>
      <c r="O982" s="4" t="str" cm="1">
        <f t="array" ref="O982">_xlfn.LET(_xlpm.fullText,A982,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82" s="4" t="str" cm="1">
        <f t="array" ref="Q982">_xlfn.LET(_xlpm.fullText,A982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83" ht="36" spans="1:17">
      <c r="A983" s="5" t="s">
        <v>459</v>
      </c>
      <c r="K983" s="4" t="str" cm="1">
        <f t="array" ref="K983">MID(A983,MAX(IFERROR(FIND({"省","市","区","县"},A983),0))+1,FIND("街道",A983)-MAX(IFERROR(FIND({"省","市","区","县"},A983),0))-1+2)</f>
        <v>泰山街道</v>
      </c>
      <c r="M983" s="4" t="str" cm="1">
        <f t="array" ref="M983">MID(A983,MAX(IFERROR(FIND({"省"},A983),0),IFERROR(FIND({"市"},A983),0),IFERROR(FIND({"区"},A983),0),IFERROR(FIND({"县"},A983),0))+1,FIND("街道",A983)-MAX(IFERROR(FIND({"省"},A983),0),IFERROR(FIND({"市"},A983),0),IFERROR(FIND({"区"},A983),0),IFERROR(FIND({"县"},A983),0))-1+2)</f>
        <v>泰山街道</v>
      </c>
      <c r="O983" s="4" t="str" cm="1">
        <f t="array" ref="O983">_xlfn.LET(_xlpm.fullText,A983,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83" s="4" t="str" cm="1">
        <f t="array" ref="Q983">_xlfn.LET(_xlpm.fullText,A983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84" ht="24" spans="1:17">
      <c r="A984" s="5" t="s">
        <v>460</v>
      </c>
      <c r="K984" s="4" t="str" cm="1">
        <f t="array" ref="K984">MID(A984,MAX(IFERROR(FIND({"省","市","区","县"},A984),0))+1,FIND("街道",A984)-MAX(IFERROR(FIND({"省","市","区","县"},A984),0))-1+2)</f>
        <v>琵琶街道</v>
      </c>
      <c r="M984" s="4" t="str" cm="1">
        <f t="array" ref="M984">MID(A984,MAX(IFERROR(FIND({"省"},A984),0),IFERROR(FIND({"市"},A984),0),IFERROR(FIND({"区"},A984),0),IFERROR(FIND({"县"},A984),0))+1,FIND("街道",A984)-MAX(IFERROR(FIND({"省"},A984),0),IFERROR(FIND({"市"},A984),0),IFERROR(FIND({"区"},A984),0),IFERROR(FIND({"县"},A984),0))-1+2)</f>
        <v>琵琶街道</v>
      </c>
      <c r="O984" s="4" t="str" cm="1">
        <f t="array" ref="O984">_xlfn.LET(_xlpm.fullText,A984,_xlpm.streetPos,FIND("街道",_xlpm.fullText)+2,_xlpm.prefixText,LEFT(_xlpm.fullText,_xlpm.streetPos-1),_xlpm.adminPos,MAX(IFERROR(FIND({"省","市","区","县"},_xlpm.prefixText),0)),IF(_xlpm.adminPos&gt;0,MID(_xlpm.prefixText,_xlpm.adminPos+1,_xlpm.streetPos-_xlpm.adminPos-3+2),LEFT(_xlpm.prefixText,FIND("街道",_xlpm.prefixText)-1+2)))</f>
        <v>琵琶街道</v>
      </c>
      <c r="Q984" s="4" t="str" cm="1">
        <f t="array" ref="Q984">_xlfn.LET(_xlpm.fullText,A984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琵琶街道</v>
      </c>
    </row>
    <row r="985" ht="36" spans="1:17">
      <c r="A985" s="5" t="s">
        <v>7</v>
      </c>
      <c r="K985" s="4" t="str" cm="1">
        <f t="array" ref="K985">MID(A985,MAX(IFERROR(FIND({"省","市","区","县"},A985),0))+1,FIND("街道",A985)-MAX(IFERROR(FIND({"省","市","区","县"},A985),0))-1+2)</f>
        <v>泰山街道</v>
      </c>
      <c r="M985" s="4" t="str" cm="1">
        <f t="array" ref="M985">MID(A985,MAX(IFERROR(FIND({"省"},A985),0),IFERROR(FIND({"市"},A985),0),IFERROR(FIND({"区"},A985),0),IFERROR(FIND({"县"},A985),0))+1,FIND("街道",A985)-MAX(IFERROR(FIND({"省"},A985),0),IFERROR(FIND({"市"},A985),0),IFERROR(FIND({"区"},A985),0),IFERROR(FIND({"县"},A985),0))-1+2)</f>
        <v>泰山街道</v>
      </c>
      <c r="O985" s="4" t="str" cm="1">
        <f t="array" ref="O985">_xlfn.LET(_xlpm.fullText,A985,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85" s="4" t="str" cm="1">
        <f t="array" ref="Q985">_xlfn.LET(_xlpm.fullText,A985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86" ht="36" spans="1:17">
      <c r="A986" s="5" t="s">
        <v>329</v>
      </c>
      <c r="K986" s="4" t="str" cm="1">
        <f t="array" ref="K986">MID(A986,MAX(IFERROR(FIND({"省","市","区","县"},A986),0))+1,FIND("街道",A986)-MAX(IFERROR(FIND({"省","市","区","县"},A986),0))-1+2)</f>
        <v>三水街道</v>
      </c>
      <c r="M986" s="4" t="str" cm="1">
        <f t="array" ref="M986">MID(A986,MAX(IFERROR(FIND({"省"},A986),0),IFERROR(FIND({"市"},A986),0),IFERROR(FIND({"区"},A986),0),IFERROR(FIND({"县"},A986),0))+1,FIND("街道",A986)-MAX(IFERROR(FIND({"省"},A986),0),IFERROR(FIND({"市"},A986),0),IFERROR(FIND({"区"},A986),0),IFERROR(FIND({"县"},A986),0))-1+2)</f>
        <v>三水街道</v>
      </c>
      <c r="O986" s="4" t="str" cm="1">
        <f t="array" ref="O986">_xlfn.LET(_xlpm.fullText,A986,_xlpm.streetPos,FIND("街道",_xlpm.fullText)+2,_xlpm.prefixText,LEFT(_xlpm.fullText,_xlpm.streetPos-1),_xlpm.adminPos,MAX(IFERROR(FIND({"省","市","区","县"},_xlpm.prefixText),0)),IF(_xlpm.adminPos&gt;0,MID(_xlpm.prefixText,_xlpm.adminPos+1,_xlpm.streetPos-_xlpm.adminPos-3+2),LEFT(_xlpm.prefixText,FIND("街道",_xlpm.prefixText)-1+2)))</f>
        <v>三水街道</v>
      </c>
      <c r="Q986" s="4" t="str" cm="1">
        <f t="array" ref="Q986">_xlfn.LET(_xlpm.fullText,A986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三水街道</v>
      </c>
    </row>
    <row r="987" ht="36" spans="1:17">
      <c r="A987" s="5" t="s">
        <v>7</v>
      </c>
      <c r="K987" s="4" t="str" cm="1">
        <f t="array" ref="K987">MID(A987,MAX(IFERROR(FIND({"省","市","区","县"},A987),0))+1,FIND("街道",A987)-MAX(IFERROR(FIND({"省","市","区","县"},A987),0))-1+2)</f>
        <v>泰山街道</v>
      </c>
      <c r="M987" s="4" t="str" cm="1">
        <f t="array" ref="M987">MID(A987,MAX(IFERROR(FIND({"省"},A987),0),IFERROR(FIND({"市"},A987),0),IFERROR(FIND({"区"},A987),0),IFERROR(FIND({"县"},A987),0))+1,FIND("街道",A987)-MAX(IFERROR(FIND({"省"},A987),0),IFERROR(FIND({"市"},A987),0),IFERROR(FIND({"区"},A987),0),IFERROR(FIND({"县"},A987),0))-1+2)</f>
        <v>泰山街道</v>
      </c>
      <c r="O987" s="4" t="str" cm="1">
        <f t="array" ref="O987">_xlfn.LET(_xlpm.fullText,A987,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87" s="4" t="str" cm="1">
        <f t="array" ref="Q987">_xlfn.LET(_xlpm.fullText,A987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88" ht="24" spans="1:17">
      <c r="A988" s="5" t="s">
        <v>461</v>
      </c>
      <c r="K988" s="4" t="str" cm="1">
        <f t="array" ref="K988">MID(A988,MAX(IFERROR(FIND({"省","市","区","县"},A988),0))+1,FIND("街道",A988)-MAX(IFERROR(FIND({"省","市","区","县"},A988),0))-1+2)</f>
        <v>泰山街道</v>
      </c>
      <c r="M988" s="4" t="str" cm="1">
        <f t="array" ref="M988">MID(A988,MAX(IFERROR(FIND({"省"},A988),0),IFERROR(FIND({"市"},A988),0),IFERROR(FIND({"区"},A988),0),IFERROR(FIND({"县"},A988),0))+1,FIND("街道",A988)-MAX(IFERROR(FIND({"省"},A988),0),IFERROR(FIND({"市"},A988),0),IFERROR(FIND({"区"},A988),0),IFERROR(FIND({"县"},A988),0))-1+2)</f>
        <v>泰山街道</v>
      </c>
      <c r="O988" s="4" t="str" cm="1">
        <f t="array" ref="O988">_xlfn.LET(_xlpm.fullText,A988,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88" s="4" t="str" cm="1">
        <f t="array" ref="Q988">_xlfn.LET(_xlpm.fullText,A988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89" ht="24" spans="1:17">
      <c r="A989" s="5" t="s">
        <v>461</v>
      </c>
      <c r="K989" s="4" t="str" cm="1">
        <f t="array" ref="K989">MID(A989,MAX(IFERROR(FIND({"省","市","区","县"},A989),0))+1,FIND("街道",A989)-MAX(IFERROR(FIND({"省","市","区","县"},A989),0))-1+2)</f>
        <v>泰山街道</v>
      </c>
      <c r="M989" s="4" t="str" cm="1">
        <f t="array" ref="M989">MID(A989,MAX(IFERROR(FIND({"省"},A989),0),IFERROR(FIND({"市"},A989),0),IFERROR(FIND({"区"},A989),0),IFERROR(FIND({"县"},A989),0))+1,FIND("街道",A989)-MAX(IFERROR(FIND({"省"},A989),0),IFERROR(FIND({"市"},A989),0),IFERROR(FIND({"区"},A989),0),IFERROR(FIND({"县"},A989),0))-1+2)</f>
        <v>泰山街道</v>
      </c>
      <c r="O989" s="4" t="str" cm="1">
        <f t="array" ref="O989">_xlfn.LET(_xlpm.fullText,A989,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89" s="4" t="str" cm="1">
        <f t="array" ref="Q989">_xlfn.LET(_xlpm.fullText,A989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0" ht="24" spans="1:17">
      <c r="A990" s="5" t="s">
        <v>461</v>
      </c>
      <c r="K990" s="4" t="str" cm="1">
        <f t="array" ref="K990">MID(A990,MAX(IFERROR(FIND({"省","市","区","县"},A990),0))+1,FIND("街道",A990)-MAX(IFERROR(FIND({"省","市","区","县"},A990),0))-1+2)</f>
        <v>泰山街道</v>
      </c>
      <c r="M990" s="4" t="str" cm="1">
        <f t="array" ref="M990">MID(A990,MAX(IFERROR(FIND({"省"},A990),0),IFERROR(FIND({"市"},A990),0),IFERROR(FIND({"区"},A990),0),IFERROR(FIND({"县"},A990),0))+1,FIND("街道",A990)-MAX(IFERROR(FIND({"省"},A990),0),IFERROR(FIND({"市"},A990),0),IFERROR(FIND({"区"},A990),0),IFERROR(FIND({"县"},A990),0))-1+2)</f>
        <v>泰山街道</v>
      </c>
      <c r="O990" s="4" t="str" cm="1">
        <f t="array" ref="O990">_xlfn.LET(_xlpm.fullText,A990,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0" s="4" t="str" cm="1">
        <f t="array" ref="Q990">_xlfn.LET(_xlpm.fullText,A990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1" ht="24" spans="1:17">
      <c r="A991" s="5" t="s">
        <v>461</v>
      </c>
      <c r="K991" s="4" t="str" cm="1">
        <f t="array" ref="K991">MID(A991,MAX(IFERROR(FIND({"省","市","区","县"},A991),0))+1,FIND("街道",A991)-MAX(IFERROR(FIND({"省","市","区","县"},A991),0))-1+2)</f>
        <v>泰山街道</v>
      </c>
      <c r="M991" s="4" t="str" cm="1">
        <f t="array" ref="M991">MID(A991,MAX(IFERROR(FIND({"省"},A991),0),IFERROR(FIND({"市"},A991),0),IFERROR(FIND({"区"},A991),0),IFERROR(FIND({"县"},A991),0))+1,FIND("街道",A991)-MAX(IFERROR(FIND({"省"},A991),0),IFERROR(FIND({"市"},A991),0),IFERROR(FIND({"区"},A991),0),IFERROR(FIND({"县"},A991),0))-1+2)</f>
        <v>泰山街道</v>
      </c>
      <c r="O991" s="4" t="str" cm="1">
        <f t="array" ref="O991">_xlfn.LET(_xlpm.fullText,A991,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1" s="4" t="str" cm="1">
        <f t="array" ref="Q991">_xlfn.LET(_xlpm.fullText,A991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2" ht="36" spans="1:17">
      <c r="A992" s="5" t="s">
        <v>7</v>
      </c>
      <c r="K992" s="4" t="str" cm="1">
        <f t="array" ref="K992">MID(A992,MAX(IFERROR(FIND({"省","市","区","县"},A992),0))+1,FIND("街道",A992)-MAX(IFERROR(FIND({"省","市","区","县"},A992),0))-1+2)</f>
        <v>泰山街道</v>
      </c>
      <c r="M992" s="4" t="str" cm="1">
        <f t="array" ref="M992">MID(A992,MAX(IFERROR(FIND({"省"},A992),0),IFERROR(FIND({"市"},A992),0),IFERROR(FIND({"区"},A992),0),IFERROR(FIND({"县"},A992),0))+1,FIND("街道",A992)-MAX(IFERROR(FIND({"省"},A992),0),IFERROR(FIND({"市"},A992),0),IFERROR(FIND({"区"},A992),0),IFERROR(FIND({"县"},A992),0))-1+2)</f>
        <v>泰山街道</v>
      </c>
      <c r="O992" s="4" t="str" cm="1">
        <f t="array" ref="O992">_xlfn.LET(_xlpm.fullText,A992,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2" s="4" t="str" cm="1">
        <f t="array" ref="Q992">_xlfn.LET(_xlpm.fullText,A992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3" ht="36" spans="1:17">
      <c r="A993" s="5" t="s">
        <v>7</v>
      </c>
      <c r="K993" s="4" t="str" cm="1">
        <f t="array" ref="K993">MID(A993,MAX(IFERROR(FIND({"省","市","区","县"},A993),0))+1,FIND("街道",A993)-MAX(IFERROR(FIND({"省","市","区","县"},A993),0))-1+2)</f>
        <v>泰山街道</v>
      </c>
      <c r="M993" s="4" t="str" cm="1">
        <f t="array" ref="M993">MID(A993,MAX(IFERROR(FIND({"省"},A993),0),IFERROR(FIND({"市"},A993),0),IFERROR(FIND({"区"},A993),0),IFERROR(FIND({"县"},A993),0))+1,FIND("街道",A993)-MAX(IFERROR(FIND({"省"},A993),0),IFERROR(FIND({"市"},A993),0),IFERROR(FIND({"区"},A993),0),IFERROR(FIND({"县"},A993),0))-1+2)</f>
        <v>泰山街道</v>
      </c>
      <c r="O993" s="4" t="str" cm="1">
        <f t="array" ref="O993">_xlfn.LET(_xlpm.fullText,A993,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3" s="4" t="str" cm="1">
        <f t="array" ref="Q993">_xlfn.LET(_xlpm.fullText,A993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4" ht="24" spans="1:17">
      <c r="A994" s="5" t="s">
        <v>461</v>
      </c>
      <c r="K994" s="4" t="str" cm="1">
        <f t="array" ref="K994">MID(A994,MAX(IFERROR(FIND({"省","市","区","县"},A994),0))+1,FIND("街道",A994)-MAX(IFERROR(FIND({"省","市","区","县"},A994),0))-1+2)</f>
        <v>泰山街道</v>
      </c>
      <c r="M994" s="4" t="str" cm="1">
        <f t="array" ref="M994">MID(A994,MAX(IFERROR(FIND({"省"},A994),0),IFERROR(FIND({"市"},A994),0),IFERROR(FIND({"区"},A994),0),IFERROR(FIND({"县"},A994),0))+1,FIND("街道",A994)-MAX(IFERROR(FIND({"省"},A994),0),IFERROR(FIND({"市"},A994),0),IFERROR(FIND({"区"},A994),0),IFERROR(FIND({"县"},A994),0))-1+2)</f>
        <v>泰山街道</v>
      </c>
      <c r="O994" s="4" t="str" cm="1">
        <f t="array" ref="O994">_xlfn.LET(_xlpm.fullText,A994,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4" s="4" t="str" cm="1">
        <f t="array" ref="Q994">_xlfn.LET(_xlpm.fullText,A994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5" ht="24" spans="1:17">
      <c r="A995" s="5" t="s">
        <v>461</v>
      </c>
      <c r="K995" s="4" t="str" cm="1">
        <f t="array" ref="K995">MID(A995,MAX(IFERROR(FIND({"省","市","区","县"},A995),0))+1,FIND("街道",A995)-MAX(IFERROR(FIND({"省","市","区","县"},A995),0))-1+2)</f>
        <v>泰山街道</v>
      </c>
      <c r="M995" s="4" t="str" cm="1">
        <f t="array" ref="M995">MID(A995,MAX(IFERROR(FIND({"省"},A995),0),IFERROR(FIND({"市"},A995),0),IFERROR(FIND({"区"},A995),0),IFERROR(FIND({"县"},A995),0))+1,FIND("街道",A995)-MAX(IFERROR(FIND({"省"},A995),0),IFERROR(FIND({"市"},A995),0),IFERROR(FIND({"区"},A995),0),IFERROR(FIND({"县"},A995),0))-1+2)</f>
        <v>泰山街道</v>
      </c>
      <c r="O995" s="4" t="str" cm="1">
        <f t="array" ref="O995">_xlfn.LET(_xlpm.fullText,A995,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5" s="4" t="str" cm="1">
        <f t="array" ref="Q995">_xlfn.LET(_xlpm.fullText,A995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6" ht="36" spans="1:17">
      <c r="A996" s="5" t="s">
        <v>459</v>
      </c>
      <c r="K996" s="4" t="str" cm="1">
        <f t="array" ref="K996">MID(A996,MAX(IFERROR(FIND({"省","市","区","县"},A996),0))+1,FIND("街道",A996)-MAX(IFERROR(FIND({"省","市","区","县"},A996),0))-1+2)</f>
        <v>泰山街道</v>
      </c>
      <c r="M996" s="4" t="str" cm="1">
        <f t="array" ref="M996">MID(A996,MAX(IFERROR(FIND({"省"},A996),0),IFERROR(FIND({"市"},A996),0),IFERROR(FIND({"区"},A996),0),IFERROR(FIND({"县"},A996),0))+1,FIND("街道",A996)-MAX(IFERROR(FIND({"省"},A996),0),IFERROR(FIND({"市"},A996),0),IFERROR(FIND({"区"},A996),0),IFERROR(FIND({"县"},A996),0))-1+2)</f>
        <v>泰山街道</v>
      </c>
      <c r="O996" s="4" t="str" cm="1">
        <f t="array" ref="O996">_xlfn.LET(_xlpm.fullText,A996,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6" s="4" t="str" cm="1">
        <f t="array" ref="Q996">_xlfn.LET(_xlpm.fullText,A996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7" ht="36" spans="1:17">
      <c r="A997" s="5" t="s">
        <v>459</v>
      </c>
      <c r="K997" s="4" t="str" cm="1">
        <f t="array" ref="K997">MID(A997,MAX(IFERROR(FIND({"省","市","区","县"},A997),0))+1,FIND("街道",A997)-MAX(IFERROR(FIND({"省","市","区","县"},A997),0))-1+2)</f>
        <v>泰山街道</v>
      </c>
      <c r="M997" s="4" t="str" cm="1">
        <f t="array" ref="M997">MID(A997,MAX(IFERROR(FIND({"省"},A997),0),IFERROR(FIND({"市"},A997),0),IFERROR(FIND({"区"},A997),0),IFERROR(FIND({"县"},A997),0))+1,FIND("街道",A997)-MAX(IFERROR(FIND({"省"},A997),0),IFERROR(FIND({"市"},A997),0),IFERROR(FIND({"区"},A997),0),IFERROR(FIND({"县"},A997),0))-1+2)</f>
        <v>泰山街道</v>
      </c>
      <c r="O997" s="4" t="str" cm="1">
        <f t="array" ref="O997">_xlfn.LET(_xlpm.fullText,A997,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7" s="4" t="str" cm="1">
        <f t="array" ref="Q997">_xlfn.LET(_xlpm.fullText,A997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8" ht="36" spans="1:17">
      <c r="A998" s="5" t="s">
        <v>462</v>
      </c>
      <c r="K998" s="4" t="str" cm="1">
        <f t="array" ref="K998">MID(A998,MAX(IFERROR(FIND({"省","市","区","县"},A998),0))+1,FIND("街道",A998)-MAX(IFERROR(FIND({"省","市","区","县"},A998),0))-1+2)</f>
        <v>泰山街道</v>
      </c>
      <c r="M998" s="4" t="str" cm="1">
        <f t="array" ref="M998">MID(A998,MAX(IFERROR(FIND({"省"},A998),0),IFERROR(FIND({"市"},A998),0),IFERROR(FIND({"区"},A998),0),IFERROR(FIND({"县"},A998),0))+1,FIND("街道",A998)-MAX(IFERROR(FIND({"省"},A998),0),IFERROR(FIND({"市"},A998),0),IFERROR(FIND({"区"},A998),0),IFERROR(FIND({"县"},A998),0))-1+2)</f>
        <v>泰山街道</v>
      </c>
      <c r="O998" s="4" t="str" cm="1">
        <f t="array" ref="O998">_xlfn.LET(_xlpm.fullText,A998,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998" s="4" t="str" cm="1">
        <f t="array" ref="Q998">_xlfn.LET(_xlpm.fullText,A998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999" ht="48" spans="1:17">
      <c r="A999" s="5" t="s">
        <v>463</v>
      </c>
      <c r="K999" s="4" t="str" cm="1">
        <f t="array" ref="K999">MID(A999,MAX(IFERROR(FIND({"省","市","区","县"},A999),0))+1,FIND("街道",A999)-MAX(IFERROR(FIND({"省","市","区","县"},A999),0))-1+2)</f>
        <v>新开街道</v>
      </c>
      <c r="M999" s="4" t="str" cm="1">
        <f t="array" ref="M999">MID(A999,MAX(IFERROR(FIND({"省"},A999),0),IFERROR(FIND({"市"},A999),0),IFERROR(FIND({"区"},A999),0),IFERROR(FIND({"县"},A999),0))+1,FIND("街道",A999)-MAX(IFERROR(FIND({"省"},A999),0),IFERROR(FIND({"市"},A999),0),IFERROR(FIND({"区"},A999),0),IFERROR(FIND({"县"},A999),0))-1+2)</f>
        <v>新开街道</v>
      </c>
      <c r="O999" s="4" t="str" cm="1">
        <f t="array" ref="O999">_xlfn.LET(_xlpm.fullText,A999,_xlpm.streetPos,FIND("街道",_xlpm.fullText)+2,_xlpm.prefixText,LEFT(_xlpm.fullText,_xlpm.streetPos-1),_xlpm.adminPos,MAX(IFERROR(FIND({"省","市","区","县"},_xlpm.prefixText),0)),IF(_xlpm.adminPos&gt;0,MID(_xlpm.prefixText,_xlpm.adminPos+1,_xlpm.streetPos-_xlpm.adminPos-3+2),LEFT(_xlpm.prefixText,FIND("街道",_xlpm.prefixText)-1+2)))</f>
        <v>新开街道</v>
      </c>
      <c r="Q999" s="4" t="str" cm="1">
        <f t="array" ref="Q999">_xlfn.LET(_xlpm.fullText,A999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新开街道</v>
      </c>
    </row>
    <row r="1000" ht="24" spans="1:17">
      <c r="A1000" s="5" t="s">
        <v>464</v>
      </c>
      <c r="K1000" s="4" t="str" cm="1">
        <f t="array" ref="K1000">MID(A1000,MAX(IFERROR(FIND({"省","市","区","县"},A1000),0))+1,FIND("街道",A1000)-MAX(IFERROR(FIND({"省","市","区","县"},A1000),0))-1+2)</f>
        <v>八坼街道</v>
      </c>
      <c r="M1000" s="4" t="str" cm="1">
        <f t="array" ref="M1000">MID(A1000,MAX(IFERROR(FIND({"省"},A1000),0),IFERROR(FIND({"市"},A1000),0),IFERROR(FIND({"区"},A1000),0),IFERROR(FIND({"县"},A1000),0))+1,FIND("街道",A1000)-MAX(IFERROR(FIND({"省"},A1000),0),IFERROR(FIND({"市"},A1000),0),IFERROR(FIND({"区"},A1000),0),IFERROR(FIND({"县"},A1000),0))-1+2)</f>
        <v>八坼街道</v>
      </c>
      <c r="O1000" s="4" t="str" cm="1">
        <f t="array" ref="O1000">_xlfn.LET(_xlpm.fullText,A1000,_xlpm.streetPos,FIND("街道",_xlpm.fullText)+2,_xlpm.prefixText,LEFT(_xlpm.fullText,_xlpm.streetPos-1),_xlpm.adminPos,MAX(IFERROR(FIND({"省","市","区","县"},_xlpm.prefixText),0)),IF(_xlpm.adminPos&gt;0,MID(_xlpm.prefixText,_xlpm.adminPos+1,_xlpm.streetPos-_xlpm.adminPos-3+2),LEFT(_xlpm.prefixText,FIND("街道",_xlpm.prefixText)-1+2)))</f>
        <v>八坼街道</v>
      </c>
      <c r="Q1000" s="4" t="str" cm="1">
        <f t="array" ref="Q1000">_xlfn.LET(_xlpm.fullText,A1000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八坼街道</v>
      </c>
    </row>
    <row r="1001" ht="36" spans="1:17">
      <c r="A1001" s="5" t="s">
        <v>457</v>
      </c>
      <c r="K1001" s="4" t="str" cm="1">
        <f t="array" ref="K1001">MID(A1001,MAX(IFERROR(FIND({"省","市","区","县"},A1001),0))+1,FIND("街道",A1001)-MAX(IFERROR(FIND({"省","市","区","县"},A1001),0))-1+2)</f>
        <v>燕子矶街道</v>
      </c>
      <c r="M1001" s="4" t="str" cm="1">
        <f t="array" ref="M1001">MID(A1001,MAX(IFERROR(FIND({"省"},A1001),0),IFERROR(FIND({"市"},A1001),0),IFERROR(FIND({"区"},A1001),0),IFERROR(FIND({"县"},A1001),0))+1,FIND("街道",A1001)-MAX(IFERROR(FIND({"省"},A1001),0),IFERROR(FIND({"市"},A1001),0),IFERROR(FIND({"区"},A1001),0),IFERROR(FIND({"县"},A1001),0))-1+2)</f>
        <v>燕子矶街道</v>
      </c>
      <c r="O1001" s="4" t="str" cm="1">
        <f t="array" ref="O1001">_xlfn.LET(_xlpm.fullText,A1001,_xlpm.streetPos,FIND("街道",_xlpm.fullText)+2,_xlpm.prefixText,LEFT(_xlpm.fullText,_xlpm.streetPos-1),_xlpm.adminPos,MAX(IFERROR(FIND({"省","市","区","县"},_xlpm.prefixText),0)),IF(_xlpm.adminPos&gt;0,MID(_xlpm.prefixText,_xlpm.adminPos+1,_xlpm.streetPos-_xlpm.adminPos-3+2),LEFT(_xlpm.prefixText,FIND("街道",_xlpm.prefixText)-1+2)))</f>
        <v>燕子矶街道</v>
      </c>
      <c r="Q1001" s="4" t="str" cm="1">
        <f t="array" ref="Q1001">_xlfn.LET(_xlpm.fullText,A1001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燕子矶街道</v>
      </c>
    </row>
    <row r="1002" ht="36" spans="1:17">
      <c r="A1002" s="5" t="s">
        <v>455</v>
      </c>
      <c r="K1002" s="4" t="str" cm="1">
        <f t="array" ref="K1002">MID(A1002,MAX(IFERROR(FIND({"省","市","区","县"},A1002),0))+1,FIND("街道",A1002)-MAX(IFERROR(FIND({"省","市","区","县"},A1002),0))-1+2)</f>
        <v>三八街道</v>
      </c>
      <c r="M1002" s="4" t="str" cm="1">
        <f t="array" ref="M1002">MID(A1002,MAX(IFERROR(FIND({"省"},A1002),0),IFERROR(FIND({"市"},A1002),0),IFERROR(FIND({"区"},A1002),0),IFERROR(FIND({"县"},A1002),0))+1,FIND("街道",A1002)-MAX(IFERROR(FIND({"省"},A1002),0),IFERROR(FIND({"市"},A1002),0),IFERROR(FIND({"区"},A1002),0),IFERROR(FIND({"县"},A1002),0))-1+2)</f>
        <v>三八街道</v>
      </c>
      <c r="O1002" s="4" t="str" cm="1">
        <f t="array" ref="O1002">_xlfn.LET(_xlpm.fullText,A1002,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1002" s="4" t="str" cm="1">
        <f t="array" ref="Q1002">_xlfn.LET(_xlpm.fullText,A1002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1003" ht="36" spans="1:17">
      <c r="A1003" s="5" t="s">
        <v>455</v>
      </c>
      <c r="K1003" s="4" t="str" cm="1">
        <f t="array" ref="K1003">MID(A1003,MAX(IFERROR(FIND({"省","市","区","县"},A1003),0))+1,FIND("街道",A1003)-MAX(IFERROR(FIND({"省","市","区","县"},A1003),0))-1+2)</f>
        <v>三八街道</v>
      </c>
      <c r="M1003" s="4" t="str" cm="1">
        <f t="array" ref="M1003">MID(A1003,MAX(IFERROR(FIND({"省"},A1003),0),IFERROR(FIND({"市"},A1003),0),IFERROR(FIND({"区"},A1003),0),IFERROR(FIND({"县"},A1003),0))+1,FIND("街道",A1003)-MAX(IFERROR(FIND({"省"},A1003),0),IFERROR(FIND({"市"},A1003),0),IFERROR(FIND({"区"},A1003),0),IFERROR(FIND({"县"},A1003),0))-1+2)</f>
        <v>三八街道</v>
      </c>
      <c r="O1003" s="4" t="str" cm="1">
        <f t="array" ref="O1003">_xlfn.LET(_xlpm.fullText,A1003,_xlpm.streetPos,FIND("街道",_xlpm.fullText)+2,_xlpm.prefixText,LEFT(_xlpm.fullText,_xlpm.streetPos-1),_xlpm.adminPos,MAX(IFERROR(FIND({"省","市","区","县"},_xlpm.prefixText),0)),IF(_xlpm.adminPos&gt;0,MID(_xlpm.prefixText,_xlpm.adminPos+1,_xlpm.streetPos-_xlpm.adminPos-3+2),LEFT(_xlpm.prefixText,FIND("街道",_xlpm.prefixText)-1+2)))</f>
        <v>三八街道</v>
      </c>
      <c r="Q1003" s="4" t="str" cm="1">
        <f t="array" ref="Q1003">_xlfn.LET(_xlpm.fullText,A1003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三八街道</v>
      </c>
    </row>
    <row r="1004" ht="36" spans="1:17">
      <c r="A1004" s="5" t="s">
        <v>465</v>
      </c>
      <c r="K1004" s="4" t="str" cm="1">
        <f t="array" ref="K1004">MID(A1004,MAX(IFERROR(FIND({"省","市","区","县"},A1004),0))+1,FIND("街道",A1004)-MAX(IFERROR(FIND({"省","市","区","县"},A1004),0))-1+2)</f>
        <v>泰山街道</v>
      </c>
      <c r="M1004" s="4" t="str" cm="1">
        <f t="array" ref="M1004">MID(A1004,MAX(IFERROR(FIND({"省"},A1004),0),IFERROR(FIND({"市"},A1004),0),IFERROR(FIND({"区"},A1004),0),IFERROR(FIND({"县"},A1004),0))+1,FIND("街道",A1004)-MAX(IFERROR(FIND({"省"},A1004),0),IFERROR(FIND({"市"},A1004),0),IFERROR(FIND({"区"},A1004),0),IFERROR(FIND({"县"},A1004),0))-1+2)</f>
        <v>泰山街道</v>
      </c>
      <c r="O1004" s="4" t="str" cm="1">
        <f t="array" ref="O1004">_xlfn.LET(_xlpm.fullText,A1004,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04" s="4" t="str" cm="1">
        <f t="array" ref="Q1004">_xlfn.LET(_xlpm.fullText,A1004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05" ht="36" spans="1:17">
      <c r="A1005" s="5" t="s">
        <v>462</v>
      </c>
      <c r="K1005" s="4" t="str" cm="1">
        <f t="array" ref="K1005">MID(A1005,MAX(IFERROR(FIND({"省","市","区","县"},A1005),0))+1,FIND("街道",A1005)-MAX(IFERROR(FIND({"省","市","区","县"},A1005),0))-1+2)</f>
        <v>泰山街道</v>
      </c>
      <c r="M1005" s="4" t="str" cm="1">
        <f t="array" ref="M1005">MID(A1005,MAX(IFERROR(FIND({"省"},A1005),0),IFERROR(FIND({"市"},A1005),0),IFERROR(FIND({"区"},A1005),0),IFERROR(FIND({"县"},A1005),0))+1,FIND("街道",A1005)-MAX(IFERROR(FIND({"省"},A1005),0),IFERROR(FIND({"市"},A1005),0),IFERROR(FIND({"区"},A1005),0),IFERROR(FIND({"县"},A1005),0))-1+2)</f>
        <v>泰山街道</v>
      </c>
      <c r="O1005" s="4" t="str" cm="1">
        <f t="array" ref="O1005">_xlfn.LET(_xlpm.fullText,A1005,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05" s="4" t="str" cm="1">
        <f t="array" ref="Q1005">_xlfn.LET(_xlpm.fullText,A1005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06" ht="36" spans="1:17">
      <c r="A1006" s="5" t="s">
        <v>459</v>
      </c>
      <c r="K1006" s="4" t="str" cm="1">
        <f t="array" ref="K1006">MID(A1006,MAX(IFERROR(FIND({"省","市","区","县"},A1006),0))+1,FIND("街道",A1006)-MAX(IFERROR(FIND({"省","市","区","县"},A1006),0))-1+2)</f>
        <v>泰山街道</v>
      </c>
      <c r="M1006" s="4" t="str" cm="1">
        <f t="array" ref="M1006">MID(A1006,MAX(IFERROR(FIND({"省"},A1006),0),IFERROR(FIND({"市"},A1006),0),IFERROR(FIND({"区"},A1006),0),IFERROR(FIND({"县"},A1006),0))+1,FIND("街道",A1006)-MAX(IFERROR(FIND({"省"},A1006),0),IFERROR(FIND({"市"},A1006),0),IFERROR(FIND({"区"},A1006),0),IFERROR(FIND({"县"},A1006),0))-1+2)</f>
        <v>泰山街道</v>
      </c>
      <c r="O1006" s="4" t="str" cm="1">
        <f t="array" ref="O1006">_xlfn.LET(_xlpm.fullText,A1006,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06" s="4" t="str" cm="1">
        <f t="array" ref="Q1006">_xlfn.LET(_xlpm.fullText,A1006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07" ht="36" spans="1:17">
      <c r="A1007" s="5" t="s">
        <v>462</v>
      </c>
      <c r="K1007" s="4" t="str" cm="1">
        <f t="array" ref="K1007">MID(A1007,MAX(IFERROR(FIND({"省","市","区","县"},A1007),0))+1,FIND("街道",A1007)-MAX(IFERROR(FIND({"省","市","区","县"},A1007),0))-1+2)</f>
        <v>泰山街道</v>
      </c>
      <c r="M1007" s="4" t="str" cm="1">
        <f t="array" ref="M1007">MID(A1007,MAX(IFERROR(FIND({"省"},A1007),0),IFERROR(FIND({"市"},A1007),0),IFERROR(FIND({"区"},A1007),0),IFERROR(FIND({"县"},A1007),0))+1,FIND("街道",A1007)-MAX(IFERROR(FIND({"省"},A1007),0),IFERROR(FIND({"市"},A1007),0),IFERROR(FIND({"区"},A1007),0),IFERROR(FIND({"县"},A1007),0))-1+2)</f>
        <v>泰山街道</v>
      </c>
      <c r="O1007" s="4" t="str" cm="1">
        <f t="array" ref="O1007">_xlfn.LET(_xlpm.fullText,A1007,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07" s="4" t="str" cm="1">
        <f t="array" ref="Q1007">_xlfn.LET(_xlpm.fullText,A1007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08" ht="24" spans="1:17">
      <c r="A1008" s="5" t="s">
        <v>466</v>
      </c>
      <c r="K1008" s="4" t="str" cm="1">
        <f t="array" ref="K1008">MID(A1008,MAX(IFERROR(FIND({"省","市","区","县"},A1008),0))+1,FIND("街道",A1008)-MAX(IFERROR(FIND({"省","市","区","县"},A1008),0))-1+2)</f>
        <v>泰山街道</v>
      </c>
      <c r="M1008" s="4" t="str" cm="1">
        <f t="array" ref="M1008">MID(A1008,MAX(IFERROR(FIND({"省"},A1008),0),IFERROR(FIND({"市"},A1008),0),IFERROR(FIND({"区"},A1008),0),IFERROR(FIND({"县"},A1008),0))+1,FIND("街道",A1008)-MAX(IFERROR(FIND({"省"},A1008),0),IFERROR(FIND({"市"},A1008),0),IFERROR(FIND({"区"},A1008),0),IFERROR(FIND({"县"},A1008),0))-1+2)</f>
        <v>泰山街道</v>
      </c>
      <c r="O1008" s="4" t="str" cm="1">
        <f t="array" ref="O1008">_xlfn.LET(_xlpm.fullText,A1008,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08" s="4" t="str" cm="1">
        <f t="array" ref="Q1008">_xlfn.LET(_xlpm.fullText,A1008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09" ht="36" spans="1:17">
      <c r="A1009" s="5" t="s">
        <v>462</v>
      </c>
      <c r="K1009" s="4" t="str" cm="1">
        <f t="array" ref="K1009">MID(A1009,MAX(IFERROR(FIND({"省","市","区","县"},A1009),0))+1,FIND("街道",A1009)-MAX(IFERROR(FIND({"省","市","区","县"},A1009),0))-1+2)</f>
        <v>泰山街道</v>
      </c>
      <c r="M1009" s="4" t="str" cm="1">
        <f t="array" ref="M1009">MID(A1009,MAX(IFERROR(FIND({"省"},A1009),0),IFERROR(FIND({"市"},A1009),0),IFERROR(FIND({"区"},A1009),0),IFERROR(FIND({"县"},A1009),0))+1,FIND("街道",A1009)-MAX(IFERROR(FIND({"省"},A1009),0),IFERROR(FIND({"市"},A1009),0),IFERROR(FIND({"区"},A1009),0),IFERROR(FIND({"县"},A1009),0))-1+2)</f>
        <v>泰山街道</v>
      </c>
      <c r="O1009" s="4" t="str" cm="1">
        <f t="array" ref="O1009">_xlfn.LET(_xlpm.fullText,A1009,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09" s="4" t="str" cm="1">
        <f t="array" ref="Q1009">_xlfn.LET(_xlpm.fullText,A1009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0" ht="36" spans="1:17">
      <c r="A1010" s="5" t="s">
        <v>462</v>
      </c>
      <c r="K1010" s="4" t="str" cm="1">
        <f t="array" ref="K1010">MID(A1010,MAX(IFERROR(FIND({"省","市","区","县"},A1010),0))+1,FIND("街道",A1010)-MAX(IFERROR(FIND({"省","市","区","县"},A1010),0))-1+2)</f>
        <v>泰山街道</v>
      </c>
      <c r="M1010" s="4" t="str" cm="1">
        <f t="array" ref="M1010">MID(A1010,MAX(IFERROR(FIND({"省"},A1010),0),IFERROR(FIND({"市"},A1010),0),IFERROR(FIND({"区"},A1010),0),IFERROR(FIND({"县"},A1010),0))+1,FIND("街道",A1010)-MAX(IFERROR(FIND({"省"},A1010),0),IFERROR(FIND({"市"},A1010),0),IFERROR(FIND({"区"},A1010),0),IFERROR(FIND({"县"},A1010),0))-1+2)</f>
        <v>泰山街道</v>
      </c>
      <c r="O1010" s="4" t="str" cm="1">
        <f t="array" ref="O1010">_xlfn.LET(_xlpm.fullText,A1010,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0" s="4" t="str" cm="1">
        <f t="array" ref="Q1010">_xlfn.LET(_xlpm.fullText,A1010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1" ht="36" spans="1:17">
      <c r="A1011" s="5" t="s">
        <v>462</v>
      </c>
      <c r="K1011" s="4" t="str" cm="1">
        <f t="array" ref="K1011">MID(A1011,MAX(IFERROR(FIND({"省","市","区","县"},A1011),0))+1,FIND("街道",A1011)-MAX(IFERROR(FIND({"省","市","区","县"},A1011),0))-1+2)</f>
        <v>泰山街道</v>
      </c>
      <c r="M1011" s="4" t="str" cm="1">
        <f t="array" ref="M1011">MID(A1011,MAX(IFERROR(FIND({"省"},A1011),0),IFERROR(FIND({"市"},A1011),0),IFERROR(FIND({"区"},A1011),0),IFERROR(FIND({"县"},A1011),0))+1,FIND("街道",A1011)-MAX(IFERROR(FIND({"省"},A1011),0),IFERROR(FIND({"市"},A1011),0),IFERROR(FIND({"区"},A1011),0),IFERROR(FIND({"县"},A1011),0))-1+2)</f>
        <v>泰山街道</v>
      </c>
      <c r="O1011" s="4" t="str" cm="1">
        <f t="array" ref="O1011">_xlfn.LET(_xlpm.fullText,A1011,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1" s="4" t="str" cm="1">
        <f t="array" ref="Q1011">_xlfn.LET(_xlpm.fullText,A1011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2" ht="24" spans="1:17">
      <c r="A1012" s="5" t="s">
        <v>466</v>
      </c>
      <c r="K1012" s="4" t="str" cm="1">
        <f t="array" ref="K1012">MID(A1012,MAX(IFERROR(FIND({"省","市","区","县"},A1012),0))+1,FIND("街道",A1012)-MAX(IFERROR(FIND({"省","市","区","县"},A1012),0))-1+2)</f>
        <v>泰山街道</v>
      </c>
      <c r="M1012" s="4" t="str" cm="1">
        <f t="array" ref="M1012">MID(A1012,MAX(IFERROR(FIND({"省"},A1012),0),IFERROR(FIND({"市"},A1012),0),IFERROR(FIND({"区"},A1012),0),IFERROR(FIND({"县"},A1012),0))+1,FIND("街道",A1012)-MAX(IFERROR(FIND({"省"},A1012),0),IFERROR(FIND({"市"},A1012),0),IFERROR(FIND({"区"},A1012),0),IFERROR(FIND({"县"},A1012),0))-1+2)</f>
        <v>泰山街道</v>
      </c>
      <c r="O1012" s="4" t="str" cm="1">
        <f t="array" ref="O1012">_xlfn.LET(_xlpm.fullText,A1012,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2" s="4" t="str" cm="1">
        <f t="array" ref="Q1012">_xlfn.LET(_xlpm.fullText,A1012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3" ht="36" spans="1:17">
      <c r="A1013" s="5" t="s">
        <v>459</v>
      </c>
      <c r="K1013" s="4" t="str" cm="1">
        <f t="array" ref="K1013">MID(A1013,MAX(IFERROR(FIND({"省","市","区","县"},A1013),0))+1,FIND("街道",A1013)-MAX(IFERROR(FIND({"省","市","区","县"},A1013),0))-1+2)</f>
        <v>泰山街道</v>
      </c>
      <c r="M1013" s="4" t="str" cm="1">
        <f t="array" ref="M1013">MID(A1013,MAX(IFERROR(FIND({"省"},A1013),0),IFERROR(FIND({"市"},A1013),0),IFERROR(FIND({"区"},A1013),0),IFERROR(FIND({"县"},A1013),0))+1,FIND("街道",A1013)-MAX(IFERROR(FIND({"省"},A1013),0),IFERROR(FIND({"市"},A1013),0),IFERROR(FIND({"区"},A1013),0),IFERROR(FIND({"县"},A1013),0))-1+2)</f>
        <v>泰山街道</v>
      </c>
      <c r="O1013" s="4" t="str" cm="1">
        <f t="array" ref="O1013">_xlfn.LET(_xlpm.fullText,A1013,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3" s="4" t="str" cm="1">
        <f t="array" ref="Q1013">_xlfn.LET(_xlpm.fullText,A1013,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4" ht="36" spans="1:17">
      <c r="A1014" s="5" t="s">
        <v>462</v>
      </c>
      <c r="K1014" s="4" t="str" cm="1">
        <f t="array" ref="K1014">MID(A1014,MAX(IFERROR(FIND({"省","市","区","县"},A1014),0))+1,FIND("街道",A1014)-MAX(IFERROR(FIND({"省","市","区","县"},A1014),0))-1+2)</f>
        <v>泰山街道</v>
      </c>
      <c r="M1014" s="4" t="str" cm="1">
        <f t="array" ref="M1014">MID(A1014,MAX(IFERROR(FIND({"省"},A1014),0),IFERROR(FIND({"市"},A1014),0),IFERROR(FIND({"区"},A1014),0),IFERROR(FIND({"县"},A1014),0))+1,FIND("街道",A1014)-MAX(IFERROR(FIND({"省"},A1014),0),IFERROR(FIND({"市"},A1014),0),IFERROR(FIND({"区"},A1014),0),IFERROR(FIND({"县"},A1014),0))-1+2)</f>
        <v>泰山街道</v>
      </c>
      <c r="O1014" s="4" t="str" cm="1">
        <f t="array" ref="O1014">_xlfn.LET(_xlpm.fullText,A1014,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4" s="4" t="str" cm="1">
        <f t="array" ref="Q1014">_xlfn.LET(_xlpm.fullText,A1014,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5" ht="24" spans="1:17">
      <c r="A1015" s="5" t="s">
        <v>461</v>
      </c>
      <c r="K1015" s="4" t="str" cm="1">
        <f t="array" ref="K1015">MID(A1015,MAX(IFERROR(FIND({"省","市","区","县"},A1015),0))+1,FIND("街道",A1015)-MAX(IFERROR(FIND({"省","市","区","县"},A1015),0))-1+2)</f>
        <v>泰山街道</v>
      </c>
      <c r="M1015" s="4" t="str" cm="1">
        <f t="array" ref="M1015">MID(A1015,MAX(IFERROR(FIND({"省"},A1015),0),IFERROR(FIND({"市"},A1015),0),IFERROR(FIND({"区"},A1015),0),IFERROR(FIND({"县"},A1015),0))+1,FIND("街道",A1015)-MAX(IFERROR(FIND({"省"},A1015),0),IFERROR(FIND({"市"},A1015),0),IFERROR(FIND({"区"},A1015),0),IFERROR(FIND({"县"},A1015),0))-1+2)</f>
        <v>泰山街道</v>
      </c>
      <c r="O1015" s="4" t="str" cm="1">
        <f t="array" ref="O1015">_xlfn.LET(_xlpm.fullText,A1015,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5" s="4" t="str" cm="1">
        <f t="array" ref="Q1015">_xlfn.LET(_xlpm.fullText,A1015,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6" ht="36" spans="1:17">
      <c r="A1016" s="5" t="s">
        <v>467</v>
      </c>
      <c r="K1016" s="4" t="str" cm="1">
        <f t="array" ref="K1016">MID(A1016,MAX(IFERROR(FIND({"省","市","区","县"},A1016),0))+1,FIND("街道",A1016)-MAX(IFERROR(FIND({"省","市","区","县"},A1016),0))-1+2)</f>
        <v>泰山街道</v>
      </c>
      <c r="M1016" s="4" t="str" cm="1">
        <f t="array" ref="M1016">MID(A1016,MAX(IFERROR(FIND({"省"},A1016),0),IFERROR(FIND({"市"},A1016),0),IFERROR(FIND({"区"},A1016),0),IFERROR(FIND({"县"},A1016),0))+1,FIND("街道",A1016)-MAX(IFERROR(FIND({"省"},A1016),0),IFERROR(FIND({"市"},A1016),0),IFERROR(FIND({"区"},A1016),0),IFERROR(FIND({"县"},A1016),0))-1+2)</f>
        <v>泰山街道</v>
      </c>
      <c r="O1016" s="4" t="str" cm="1">
        <f t="array" ref="O1016">_xlfn.LET(_xlpm.fullText,A1016,_xlpm.streetPos,FIND("街道",_xlpm.fullText)+2,_xlpm.prefixText,LEFT(_xlpm.fullText,_xlpm.streetPos-1),_xlpm.adminPos,MAX(IFERROR(FIND({"省","市","区","县"},_xlpm.prefixText),0)),IF(_xlpm.adminPos&gt;0,MID(_xlpm.prefixText,_xlpm.adminPos+1,_xlpm.streetPos-_xlpm.adminPos-3+2),LEFT(_xlpm.prefixText,FIND("街道",_xlpm.prefixText)-1+2)))</f>
        <v>泰山街道</v>
      </c>
      <c r="Q1016" s="4" t="str" cm="1">
        <f t="array" ref="Q1016">_xlfn.LET(_xlpm.fullText,A1016,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泰山街道</v>
      </c>
    </row>
    <row r="1017" ht="48" spans="1:17">
      <c r="A1017" s="5" t="s">
        <v>468</v>
      </c>
      <c r="K1017" s="4" t="str" cm="1">
        <f t="array" ref="K1017">MID(A1017,MAX(IFERROR(FIND({"省","市","区","县"},A1017),0))+1,FIND("街道",A1017)-MAX(IFERROR(FIND({"省","市","区","县"},A1017),0))-1+2)</f>
        <v>海沧街道</v>
      </c>
      <c r="M1017" s="4" t="str" cm="1">
        <f t="array" ref="M1017">MID(A1017,MAX(IFERROR(FIND({"省"},A1017),0),IFERROR(FIND({"市"},A1017),0),IFERROR(FIND({"区"},A1017),0),IFERROR(FIND({"县"},A1017),0))+1,FIND("街道",A1017)-MAX(IFERROR(FIND({"省"},A1017),0),IFERROR(FIND({"市"},A1017),0),IFERROR(FIND({"区"},A1017),0),IFERROR(FIND({"县"},A1017),0))-1+2)</f>
        <v>海沧街道</v>
      </c>
      <c r="O1017" s="4" t="str" cm="1">
        <f t="array" ref="O1017">_xlfn.LET(_xlpm.fullText,A1017,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1017" s="4" t="str" cm="1">
        <f t="array" ref="Q1017">_xlfn.LET(_xlpm.fullText,A1017,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1018" ht="48" spans="1:17">
      <c r="A1018" s="5" t="s">
        <v>468</v>
      </c>
      <c r="K1018" s="4" t="str" cm="1">
        <f t="array" ref="K1018">MID(A1018,MAX(IFERROR(FIND({"省","市","区","县"},A1018),0))+1,FIND("街道",A1018)-MAX(IFERROR(FIND({"省","市","区","县"},A1018),0))-1+2)</f>
        <v>海沧街道</v>
      </c>
      <c r="M1018" s="4" t="str" cm="1">
        <f t="array" ref="M1018">MID(A1018,MAX(IFERROR(FIND({"省"},A1018),0),IFERROR(FIND({"市"},A1018),0),IFERROR(FIND({"区"},A1018),0),IFERROR(FIND({"县"},A1018),0))+1,FIND("街道",A1018)-MAX(IFERROR(FIND({"省"},A1018),0),IFERROR(FIND({"市"},A1018),0),IFERROR(FIND({"区"},A1018),0),IFERROR(FIND({"县"},A1018),0))-1+2)</f>
        <v>海沧街道</v>
      </c>
      <c r="O1018" s="4" t="str" cm="1">
        <f t="array" ref="O1018">_xlfn.LET(_xlpm.fullText,A1018,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1018" s="4" t="str" cm="1">
        <f t="array" ref="Q1018">_xlfn.LET(_xlpm.fullText,A1018,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1019" ht="48" spans="1:17">
      <c r="A1019" s="5" t="s">
        <v>468</v>
      </c>
      <c r="K1019" s="4" t="str" cm="1">
        <f t="array" ref="K1019">MID(A1019,MAX(IFERROR(FIND({"省","市","区","县"},A1019),0))+1,FIND("街道",A1019)-MAX(IFERROR(FIND({"省","市","区","县"},A1019),0))-1+2)</f>
        <v>海沧街道</v>
      </c>
      <c r="M1019" s="4" t="str" cm="1">
        <f t="array" ref="M1019">MID(A1019,MAX(IFERROR(FIND({"省"},A1019),0),IFERROR(FIND({"市"},A1019),0),IFERROR(FIND({"区"},A1019),0),IFERROR(FIND({"县"},A1019),0))+1,FIND("街道",A1019)-MAX(IFERROR(FIND({"省"},A1019),0),IFERROR(FIND({"市"},A1019),0),IFERROR(FIND({"区"},A1019),0),IFERROR(FIND({"县"},A1019),0))-1+2)</f>
        <v>海沧街道</v>
      </c>
      <c r="O1019" s="4" t="str" cm="1">
        <f t="array" ref="O1019">_xlfn.LET(_xlpm.fullText,A1019,_xlpm.streetPos,FIND("街道",_xlpm.fullText)+2,_xlpm.prefixText,LEFT(_xlpm.fullText,_xlpm.streetPos-1),_xlpm.adminPos,MAX(IFERROR(FIND({"省","市","区","县"},_xlpm.prefixText),0)),IF(_xlpm.adminPos&gt;0,MID(_xlpm.prefixText,_xlpm.adminPos+1,_xlpm.streetPos-_xlpm.adminPos-3+2),LEFT(_xlpm.prefixText,FIND("街道",_xlpm.prefixText)-1+2)))</f>
        <v>海沧街道</v>
      </c>
      <c r="Q1019" s="4" t="str" cm="1">
        <f t="array" ref="Q1019">_xlfn.LET(_xlpm.fullText,A1019,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海沧街道</v>
      </c>
    </row>
    <row r="1020" ht="24" spans="1:17">
      <c r="A1020" s="5" t="s">
        <v>469</v>
      </c>
      <c r="K1020" s="4" t="str" cm="1">
        <f t="array" ref="K1020">MID(A1020,MAX(IFERROR(FIND({"省","市","区","县"},A1020),0))+1,FIND("街道",A1020)-MAX(IFERROR(FIND({"省","市","区","县"},A1020),0))-1+2)</f>
        <v>拱辰街道</v>
      </c>
      <c r="M1020" s="4" t="str" cm="1">
        <f t="array" ref="M1020">MID(A1020,MAX(IFERROR(FIND({"省"},A1020),0),IFERROR(FIND({"市"},A1020),0),IFERROR(FIND({"区"},A1020),0),IFERROR(FIND({"县"},A1020),0))+1,FIND("街道",A1020)-MAX(IFERROR(FIND({"省"},A1020),0),IFERROR(FIND({"市"},A1020),0),IFERROR(FIND({"区"},A1020),0),IFERROR(FIND({"县"},A1020),0))-1+2)</f>
        <v>拱辰街道</v>
      </c>
      <c r="O1020" s="4" t="str" cm="1">
        <f t="array" ref="O1020">_xlfn.LET(_xlpm.fullText,A1020,_xlpm.streetPos,FIND("街道",_xlpm.fullText)+2,_xlpm.prefixText,LEFT(_xlpm.fullText,_xlpm.streetPos-1),_xlpm.adminPos,MAX(IFERROR(FIND({"省","市","区","县"},_xlpm.prefixText),0)),IF(_xlpm.adminPos&gt;0,MID(_xlpm.prefixText,_xlpm.adminPos+1,_xlpm.streetPos-_xlpm.adminPos-3+2),LEFT(_xlpm.prefixText,FIND("街道",_xlpm.prefixText)-1+2)))</f>
        <v>拱辰街道</v>
      </c>
      <c r="Q1020" s="4" t="str" cm="1">
        <f t="array" ref="Q1020">_xlfn.LET(_xlpm.fullText,A1020,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拱辰街道</v>
      </c>
    </row>
    <row r="1021" ht="36" spans="1:17">
      <c r="A1021" s="5" t="s">
        <v>18</v>
      </c>
      <c r="K1021" s="4" t="str" cm="1">
        <f t="array" ref="K1021">MID(A1021,MAX(IFERROR(FIND({"省","市","区","县"},A1021),0))+1,FIND("街道",A1021)-MAX(IFERROR(FIND({"省","市","区","县"},A1021),0))-1+2)</f>
        <v>虬江街道</v>
      </c>
      <c r="M1021" s="4" t="str" cm="1">
        <f t="array" ref="M1021">MID(A1021,MAX(IFERROR(FIND({"省"},A1021),0),IFERROR(FIND({"市"},A1021),0),IFERROR(FIND({"区"},A1021),0),IFERROR(FIND({"县"},A1021),0))+1,FIND("街道",A1021)-MAX(IFERROR(FIND({"省"},A1021),0),IFERROR(FIND({"市"},A1021),0),IFERROR(FIND({"区"},A1021),0),IFERROR(FIND({"县"},A1021),0))-1+2)</f>
        <v>虬江街道</v>
      </c>
      <c r="O1021" s="4" t="str" cm="1">
        <f t="array" ref="O1021">_xlfn.LET(_xlpm.fullText,A1021,_xlpm.streetPos,FIND("街道",_xlpm.fullText)+2,_xlpm.prefixText,LEFT(_xlpm.fullText,_xlpm.streetPos-1),_xlpm.adminPos,MAX(IFERROR(FIND({"省","市","区","县"},_xlpm.prefixText),0)),IF(_xlpm.adminPos&gt;0,MID(_xlpm.prefixText,_xlpm.adminPos+1,_xlpm.streetPos-_xlpm.adminPos-3+2),LEFT(_xlpm.prefixText,FIND("街道",_xlpm.prefixText)-1+2)))</f>
        <v>虬江街道</v>
      </c>
      <c r="Q1021" s="4" t="str" cm="1">
        <f t="array" ref="Q1021">_xlfn.LET(_xlpm.fullText,A1021,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虬江街道</v>
      </c>
    </row>
    <row r="1022" ht="36" spans="1:17">
      <c r="A1022" s="5" t="s">
        <v>470</v>
      </c>
      <c r="K1022" s="4" t="str" cm="1">
        <f t="array" ref="K1022">MID(A1022,MAX(IFERROR(FIND({"省","市","区","县"},A1022),0))+1,FIND("街道",A1022)-MAX(IFERROR(FIND({"省","市","区","县"},A1022),0))-1+2)</f>
        <v>湖里街道</v>
      </c>
      <c r="M1022" s="4" t="str" cm="1">
        <f t="array" ref="M1022">MID(A1022,MAX(IFERROR(FIND({"省"},A1022),0),IFERROR(FIND({"市"},A1022),0),IFERROR(FIND({"区"},A1022),0),IFERROR(FIND({"县"},A1022),0))+1,FIND("街道",A1022)-MAX(IFERROR(FIND({"省"},A1022),0),IFERROR(FIND({"市"},A1022),0),IFERROR(FIND({"区"},A1022),0),IFERROR(FIND({"县"},A1022),0))-1+2)</f>
        <v>湖里街道</v>
      </c>
      <c r="O1022" s="4" t="str" cm="1">
        <f t="array" ref="O1022">_xlfn.LET(_xlpm.fullText,A1022,_xlpm.streetPos,FIND("街道",_xlpm.fullText)+2,_xlpm.prefixText,LEFT(_xlpm.fullText,_xlpm.streetPos-1),_xlpm.adminPos,MAX(IFERROR(FIND({"省","市","区","县"},_xlpm.prefixText),0)),IF(_xlpm.adminPos&gt;0,MID(_xlpm.prefixText,_xlpm.adminPos+1,_xlpm.streetPos-_xlpm.adminPos-3+2),LEFT(_xlpm.prefixText,FIND("街道",_xlpm.prefixText)-1+2)))</f>
        <v>湖里街道</v>
      </c>
      <c r="Q1022" s="4" t="str" cm="1">
        <f t="array" ref="Q1022">_xlfn.LET(_xlpm.fullText,A1022,_xlpm.streetPos,FIND("街道",_xlpm.fullText)+2,_xlpm.prefixText,LEFT(_xlpm.fullText,_xlpm.streetPos-1),_xlpm.cityPosArray,IFERROR(FIND("市",_xlpm.prefixText,_xlfn.SEQUENCE(LEN(_xlpm.prefixText))),0),_xlpm.lastCityPos,MAX(_xlpm.cityPosArray),_xlpm.adminPos,MAX(IFERROR(FIND({"省","市","区","县"},_xlpm.prefixText),0),_xlpm.lastCityPos),IF(_xlpm.adminPos&gt;0,MID(_xlpm.prefixText,_xlpm.adminPos+1,_xlpm.streetPos-_xlpm.adminPos-3+2),_xlfn.LET(_xlpm.adminPos1,MAX(IFERROR(FIND({"省","区","县"},_xlpm.prefixText),0)),IF(_xlpm.adminPos1&gt;0,MID(_xlpm.prefixText,_xlpm.adminPos1+1,_xlpm.streetPos-_xlpm.adminPos1-3+2),LEFT(_xlpm.prefixText,FIND("街道",_xlpm.prefixText)-1+2)))))</f>
        <v>湖里街道</v>
      </c>
    </row>
    <row r="1023" spans="17:17">
      <c r="Q1023" s="4"/>
    </row>
  </sheetData>
  <mergeCells count="1">
    <mergeCell ref="U1:X1"/>
  </mergeCells>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A1" sqref="A1"/>
    </sheetView>
  </sheetViews>
  <sheetFormatPr defaultColWidth="9" defaultRowHeight="14.4"/>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vt:i4>
      </vt:variant>
    </vt:vector>
  </HeadingPairs>
  <TitlesOfParts>
    <vt:vector size="3" baseType="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杜佳宁</cp:lastModifiedBy>
  <dcterms:created xsi:type="dcterms:W3CDTF">2023-05-12T11:15:00Z</dcterms:created>
  <dcterms:modified xsi:type="dcterms:W3CDTF">2025-07-12T17:18:23Z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2052-12.1.0.21915</vt:lpwstr>
  </property>
  <property fmtid="{D5CDD505-2E9C-101B-9397-08002B2CF9AE}" pid="3" name="ICV">
    <vt:lpwstr>A7D82E6CD5814E62823D7B389AFFD68C_13</vt:lpwstr>
  </property>
</Properties>
</file>